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oom Inspections" sheetId="2" state="visible" r:id="rId2"/>
    <sheet name="Parts Inventory" sheetId="3" state="visible" r:id="rId3"/>
    <sheet name="Daily Tasks" sheetId="4" state="visible" r:id="rId4"/>
    <sheet name="Weekly Tasks" sheetId="5" state="visible" r:id="rId5"/>
    <sheet name="Monthly Tasks" sheetId="6" state="visible" r:id="rId6"/>
    <sheet name="Lists" sheetId="7" state="hidden" r:id="rId7"/>
  </sheets>
  <definedNames>
    <definedName name="_xlnm._FilterDatabase" localSheetId="1" hidden="1">'Room Inspections'!$A$3:$O$8</definedName>
    <definedName name="_xlnm._FilterDatabase" localSheetId="2" hidden="1">'Parts Inventory'!$A$3:$N$8</definedName>
    <definedName name="_xlnm._FilterDatabase" localSheetId="3" hidden="1">'Daily Tasks'!$A$3:$J$7</definedName>
    <definedName name="_xlnm._FilterDatabase" localSheetId="4" hidden="1">'Weekly Tasks'!$A$3:$J$7</definedName>
    <definedName name="_xlnm._FilterDatabase" localSheetId="5" hidden="1">'Monthly Tasks'!$A$3:$J$7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1F1F1F"/>
      <sz val="16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 Completion by Cadence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>
              <a:prstDash val="solid"/>
            </a:ln>
          </spPr>
          <cat>
            <numRef>
              <f>'Dashboard'!$A$12:$A$14</f>
            </numRef>
          </cat>
          <val>
            <numRef>
              <f>'Dashboard'!$B$12:$B$14</f>
            </numRef>
          </val>
        </ser>
        <ser>
          <idx val="1"/>
          <order val="1"/>
          <tx>
            <strRef>
              <f>'Dashboard'!C11</f>
            </strRef>
          </tx>
          <spPr>
            <a:ln>
              <a:prstDash val="solid"/>
            </a:ln>
          </spPr>
          <cat>
            <numRef>
              <f>'Dashboard'!$A$12:$A$14</f>
            </numRef>
          </cat>
          <val>
            <numRef>
              <f>'Dashboard'!$C$12:$C$14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Cadence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Inspection Status Mix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'Dashboard'!$A$4:$A$7</f>
            </numRef>
          </cat>
          <val>
            <numRef>
              <f>'Dashboard'!$B$4:$B$7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16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oomInspectionTable" displayName="RoomInspectionTable" ref="A3:O8" headerRowCount="1">
  <autoFilter ref="A3:O8"/>
  <tableColumns count="15">
    <tableColumn id="1" name="Date"/>
    <tableColumn id="2" name="Wing/Area"/>
    <tableColumn id="3" name="Floor"/>
    <tableColumn id="4" name="Room/Space"/>
    <tableColumn id="5" name="Inspection Status"/>
    <tableColumn id="6" name="HVAC"/>
    <tableColumn id="7" name="Plumbing"/>
    <tableColumn id="8" name="Electrical"/>
    <tableColumn id="9" name="Walls/Floors"/>
    <tableColumn id="10" name="Life Safety"/>
    <tableColumn id="11" name="Notes"/>
    <tableColumn id="12" name="Priority"/>
    <tableColumn id="13" name="Work Order"/>
    <tableColumn id="14" name="Assigned To"/>
    <tableColumn id="15" name="Target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entoryTable" displayName="InventoryTable" ref="A3:N8" headerRowCount="1">
  <autoFilter ref="A3:N8"/>
  <tableColumns count="14">
    <tableColumn id="1" name="Part ID"/>
    <tableColumn id="2" name="Category"/>
    <tableColumn id="3" name="Part Name"/>
    <tableColumn id="4" name="Equipment/Area"/>
    <tableColumn id="5" name="Vendor"/>
    <tableColumn id="6" name="Unit Cost"/>
    <tableColumn id="7" name="On Hand"/>
    <tableColumn id="8" name="Min Level"/>
    <tableColumn id="9" name="Reorder Qty"/>
    <tableColumn id="10" name="Lead Time (Days)"/>
    <tableColumn id="11" name="Reorder Status"/>
    <tableColumn id="12" name="Critical Item"/>
    <tableColumn id="13" name="Storage Location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ilyTasksTable" displayName="DailyTasksTable" ref="A3:J7" headerRowCount="1">
  <autoFilter ref="A3:J7"/>
  <tableColumns count="10">
    <tableColumn id="1" name="Task ID"/>
    <tableColumn id="2" name="Area"/>
    <tableColumn id="3" name="Task"/>
    <tableColumn id="4" name="Assigned To"/>
    <tableColumn id="5" name="Frequency"/>
    <tableColumn id="6" name="Due Day/Date"/>
    <tableColumn id="7" name="Est. Minutes"/>
    <tableColumn id="8" name="Status"/>
    <tableColumn id="9" name="Last Completed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eklyTasksTable" displayName="WeeklyTasksTable" ref="A3:J7" headerRowCount="1">
  <autoFilter ref="A3:J7"/>
  <tableColumns count="10">
    <tableColumn id="1" name="Task ID"/>
    <tableColumn id="2" name="Area"/>
    <tableColumn id="3" name="Task"/>
    <tableColumn id="4" name="Assigned To"/>
    <tableColumn id="5" name="Frequency"/>
    <tableColumn id="6" name="Due Day/Date"/>
    <tableColumn id="7" name="Est. Minutes"/>
    <tableColumn id="8" name="Status"/>
    <tableColumn id="9" name="Last Completed"/>
    <tableColumn id="10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onthlyTasksTable" displayName="MonthlyTasksTable" ref="A3:J7" headerRowCount="1">
  <autoFilter ref="A3:J7"/>
  <tableColumns count="10">
    <tableColumn id="1" name="Task ID"/>
    <tableColumn id="2" name="Area"/>
    <tableColumn id="3" name="Task"/>
    <tableColumn id="4" name="Assigned To"/>
    <tableColumn id="5" name="Frequency"/>
    <tableColumn id="6" name="Due Day/Date"/>
    <tableColumn id="7" name="Est. Minutes"/>
    <tableColumn id="8" name="Status"/>
    <tableColumn id="9" name="Last Completed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4" customWidth="1" min="5" max="5"/>
    <col width="18" customWidth="1" min="6" max="6"/>
    <col width="18" customWidth="1" min="7" max="7"/>
  </cols>
  <sheetData>
    <row r="1">
      <c r="A1" s="1" t="inlineStr">
        <is>
          <t>Fairfield Maintenance Command Center</t>
        </is>
      </c>
    </row>
    <row r="2">
      <c r="A2" s="2" t="inlineStr">
        <is>
          <t>Interactive dashboard fed by the inspection, inventory, and recurring task sheets.</t>
        </is>
      </c>
    </row>
    <row r="4">
      <c r="A4" s="3" t="inlineStr">
        <is>
          <t>Inspections Logged</t>
        </is>
      </c>
      <c r="B4" s="4">
        <f>COUNTA('Room Inspections'!A2:A250)</f>
        <v/>
      </c>
      <c r="D4" s="3" t="inlineStr">
        <is>
          <t>Inventory Items</t>
        </is>
      </c>
      <c r="E4" s="4">
        <f>COUNTA('Parts Inventory'!A2:A250)</f>
        <v/>
      </c>
    </row>
    <row r="5">
      <c r="A5" s="3" t="inlineStr">
        <is>
          <t>Rooms Passed</t>
        </is>
      </c>
      <c r="B5" s="4">
        <f>COUNTIF('Room Inspections'!E2:E250,"Pass")</f>
        <v/>
      </c>
      <c r="D5" s="3" t="inlineStr">
        <is>
          <t>Items to Reorder</t>
        </is>
      </c>
      <c r="E5" s="4">
        <f>COUNTIF('Parts Inventory'!K2:K250,"Reorder")</f>
        <v/>
      </c>
    </row>
    <row r="6">
      <c r="A6" s="3" t="inlineStr">
        <is>
          <t>Needs Follow-Up</t>
        </is>
      </c>
      <c r="B6" s="4">
        <f>COUNTIF('Room Inspections'!E2:E250,"Follow-Up")</f>
        <v/>
      </c>
      <c r="D6" s="3" t="inlineStr">
        <is>
          <t>Inventory Value</t>
        </is>
      </c>
      <c r="E6" s="5">
        <f>SUMPRODUCT('Parts Inventory'!F2:F250,'Parts Inventory'!G2:G250)</f>
        <v/>
      </c>
    </row>
    <row r="7">
      <c r="A7" s="3" t="inlineStr">
        <is>
          <t>Rooms Failed</t>
        </is>
      </c>
      <c r="B7" s="4">
        <f>COUNTIF('Room Inspections'!E2:E250,"Fail")</f>
        <v/>
      </c>
      <c r="D7" s="3" t="inlineStr">
        <is>
          <t>Critical Spares</t>
        </is>
      </c>
      <c r="E7" s="4">
        <f>COUNTIF('Parts Inventory'!L2:L250,"Yes")</f>
        <v/>
      </c>
    </row>
    <row r="10">
      <c r="A10" s="6" t="inlineStr">
        <is>
          <t>Recurring Task Completion</t>
        </is>
      </c>
      <c r="F10" s="6" t="inlineStr">
        <is>
          <t>Follow-Up Snapshot</t>
        </is>
      </c>
    </row>
    <row r="11">
      <c r="A11" s="7" t="inlineStr">
        <is>
          <t>Cadence</t>
        </is>
      </c>
      <c r="B11" s="7" t="inlineStr">
        <is>
          <t>Completed</t>
        </is>
      </c>
      <c r="C11" s="7" t="inlineStr">
        <is>
          <t>Total</t>
        </is>
      </c>
      <c r="D11" s="7" t="inlineStr">
        <is>
          <t>Completion %</t>
        </is>
      </c>
      <c r="F11" t="inlineStr">
        <is>
          <t>Room / Area</t>
        </is>
      </c>
      <c r="G11" t="inlineStr">
        <is>
          <t>Priority</t>
        </is>
      </c>
    </row>
    <row r="12">
      <c r="A12" s="8" t="inlineStr">
        <is>
          <t>Daily</t>
        </is>
      </c>
      <c r="B12" s="8">
        <f>COUNTIF('Daily Tasks'!H2:H250,"Complete")</f>
        <v/>
      </c>
      <c r="C12" s="8">
        <f>COUNTA('Daily Tasks'!A2:A250)</f>
        <v/>
      </c>
      <c r="D12" s="9">
        <f>IFERROR(B12/C12,0)</f>
        <v/>
      </c>
      <c r="F12" s="8">
        <f>IF('Room Inspections'!E2&lt;&gt;"Pass",'Room Inspections'!D2,"")</f>
        <v/>
      </c>
      <c r="G12" s="8">
        <f>IF(F12="","",'Room Inspections'!L2)</f>
        <v/>
      </c>
    </row>
    <row r="13">
      <c r="A13" s="8" t="inlineStr">
        <is>
          <t>Weekly</t>
        </is>
      </c>
      <c r="B13" s="8">
        <f>COUNTIF('Weekly Tasks'!H2:H250,"Complete")</f>
        <v/>
      </c>
      <c r="C13" s="8">
        <f>COUNTA('Weekly Tasks'!A2:A250)</f>
        <v/>
      </c>
      <c r="D13" s="9">
        <f>IFERROR(B13/C13,0)</f>
        <v/>
      </c>
      <c r="F13" s="8">
        <f>IF('Room Inspections'!E3&lt;&gt;"Pass",'Room Inspections'!D3,"")</f>
        <v/>
      </c>
      <c r="G13" s="8">
        <f>IF(F13="","",'Room Inspections'!L3)</f>
        <v/>
      </c>
    </row>
    <row r="14">
      <c r="A14" s="8" t="inlineStr">
        <is>
          <t>Monthly</t>
        </is>
      </c>
      <c r="B14" s="8">
        <f>COUNTIF('Monthly Tasks'!H2:H250,"Complete")</f>
        <v/>
      </c>
      <c r="C14" s="8">
        <f>COUNTA('Monthly Tasks'!A2:A250)</f>
        <v/>
      </c>
      <c r="D14" s="9">
        <f>IFERROR(B14/C14,0)</f>
        <v/>
      </c>
      <c r="F14" s="8">
        <f>IF('Room Inspections'!E4&lt;&gt;"Pass",'Room Inspections'!D4,"")</f>
        <v/>
      </c>
      <c r="G14" s="8">
        <f>IF(F14="","",'Room Inspections'!L4)</f>
        <v/>
      </c>
    </row>
    <row r="15">
      <c r="F15" s="8">
        <f>IF('Room Inspections'!E5&lt;&gt;"Pass",'Room Inspections'!D5,"")</f>
        <v/>
      </c>
      <c r="G15" s="8">
        <f>IF(F15="","",'Room Inspections'!L5)</f>
        <v/>
      </c>
    </row>
    <row r="16">
      <c r="F16" s="8">
        <f>IF('Room Inspections'!E6&lt;&gt;"Pass",'Room Inspections'!D6,"")</f>
        <v/>
      </c>
      <c r="G16" s="8">
        <f>IF(F16="","",'Room Inspections'!L6)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36" customWidth="1" min="11" max="11"/>
    <col width="12" customWidth="1" min="12" max="12"/>
    <col width="14" customWidth="1" min="13" max="13"/>
    <col width="18" customWidth="1" min="14" max="14"/>
    <col width="12" customWidth="1" min="15" max="15"/>
  </cols>
  <sheetData>
    <row r="1">
      <c r="A1" s="1" t="inlineStr">
        <is>
          <t>Detailed Room Inspections - Marriott Fairfield</t>
        </is>
      </c>
    </row>
    <row r="2">
      <c r="A2" s="2" t="inlineStr">
        <is>
          <t>Track guest rooms and public spaces with pass/follow-up/fail outcomes and system-level notes.</t>
        </is>
      </c>
    </row>
    <row r="3">
      <c r="A3" s="7" t="inlineStr">
        <is>
          <t>Date</t>
        </is>
      </c>
      <c r="B3" s="7" t="inlineStr">
        <is>
          <t>Wing/Area</t>
        </is>
      </c>
      <c r="C3" s="7" t="inlineStr">
        <is>
          <t>Floor</t>
        </is>
      </c>
      <c r="D3" s="7" t="inlineStr">
        <is>
          <t>Room/Space</t>
        </is>
      </c>
      <c r="E3" s="7" t="inlineStr">
        <is>
          <t>Inspection Status</t>
        </is>
      </c>
      <c r="F3" s="7" t="inlineStr">
        <is>
          <t>HVAC</t>
        </is>
      </c>
      <c r="G3" s="7" t="inlineStr">
        <is>
          <t>Plumbing</t>
        </is>
      </c>
      <c r="H3" s="7" t="inlineStr">
        <is>
          <t>Electrical</t>
        </is>
      </c>
      <c r="I3" s="7" t="inlineStr">
        <is>
          <t>Walls/Floors</t>
        </is>
      </c>
      <c r="J3" s="7" t="inlineStr">
        <is>
          <t>Life Safety</t>
        </is>
      </c>
      <c r="K3" s="7" t="inlineStr">
        <is>
          <t>Notes</t>
        </is>
      </c>
      <c r="L3" s="7" t="inlineStr">
        <is>
          <t>Priority</t>
        </is>
      </c>
      <c r="M3" s="7" t="inlineStr">
        <is>
          <t>Work Order</t>
        </is>
      </c>
      <c r="N3" s="7" t="inlineStr">
        <is>
          <t>Assigned To</t>
        </is>
      </c>
      <c r="O3" s="7" t="inlineStr">
        <is>
          <t>Target Date</t>
        </is>
      </c>
    </row>
    <row r="4">
      <c r="A4" s="8" t="inlineStr">
        <is>
          <t>2026-07-16</t>
        </is>
      </c>
      <c r="B4" s="8" t="inlineStr">
        <is>
          <t>North Tower</t>
        </is>
      </c>
      <c r="C4" s="8" t="inlineStr">
        <is>
          <t>1</t>
        </is>
      </c>
      <c r="D4" s="8" t="inlineStr">
        <is>
          <t>101</t>
        </is>
      </c>
      <c r="E4" s="8" t="inlineStr">
        <is>
          <t>Pass</t>
        </is>
      </c>
      <c r="F4" s="8" t="inlineStr">
        <is>
          <t>OK</t>
        </is>
      </c>
      <c r="G4" s="8" t="inlineStr">
        <is>
          <t>OK</t>
        </is>
      </c>
      <c r="H4" s="8" t="inlineStr">
        <is>
          <t>OK</t>
        </is>
      </c>
      <c r="I4" s="8" t="inlineStr">
        <is>
          <t>OK</t>
        </is>
      </c>
      <c r="J4" s="8" t="inlineStr">
        <is>
          <t>OK</t>
        </is>
      </c>
      <c r="K4" s="8" t="inlineStr">
        <is>
          <t>Ready for guest turnover</t>
        </is>
      </c>
      <c r="L4" s="8" t="inlineStr">
        <is>
          <t>Low</t>
        </is>
      </c>
      <c r="M4" s="8" t="inlineStr">
        <is>
          <t>WO-2401</t>
        </is>
      </c>
      <c r="N4" s="8" t="inlineStr">
        <is>
          <t>Chief Engineer</t>
        </is>
      </c>
      <c r="O4" s="8" t="inlineStr">
        <is>
          <t>2026-07-16</t>
        </is>
      </c>
    </row>
    <row r="5">
      <c r="A5" s="8" t="inlineStr">
        <is>
          <t>2026-07-16</t>
        </is>
      </c>
      <c r="B5" s="8" t="inlineStr">
        <is>
          <t>North Tower</t>
        </is>
      </c>
      <c r="C5" s="8" t="inlineStr">
        <is>
          <t>1</t>
        </is>
      </c>
      <c r="D5" s="8" t="inlineStr">
        <is>
          <t>104</t>
        </is>
      </c>
      <c r="E5" s="8" t="inlineStr">
        <is>
          <t>Follow-Up</t>
        </is>
      </c>
      <c r="F5" s="8" t="inlineStr">
        <is>
          <t>Repair</t>
        </is>
      </c>
      <c r="G5" s="8" t="inlineStr">
        <is>
          <t>OK</t>
        </is>
      </c>
      <c r="H5" s="8" t="inlineStr">
        <is>
          <t>OK</t>
        </is>
      </c>
      <c r="I5" s="8" t="inlineStr">
        <is>
          <t>OK</t>
        </is>
      </c>
      <c r="J5" s="8" t="inlineStr">
        <is>
          <t>OK</t>
        </is>
      </c>
      <c r="K5" s="8" t="inlineStr">
        <is>
          <t>PTAC making noise overnight</t>
        </is>
      </c>
      <c r="L5" s="8" t="inlineStr">
        <is>
          <t>Medium</t>
        </is>
      </c>
      <c r="M5" s="8" t="inlineStr">
        <is>
          <t>WO-2402</t>
        </is>
      </c>
      <c r="N5" s="8" t="inlineStr">
        <is>
          <t>HVAC Tech</t>
        </is>
      </c>
      <c r="O5" s="8" t="inlineStr">
        <is>
          <t>2026-07-17</t>
        </is>
      </c>
    </row>
    <row r="6">
      <c r="A6" s="8" t="inlineStr">
        <is>
          <t>2026-07-16</t>
        </is>
      </c>
      <c r="B6" s="8" t="inlineStr">
        <is>
          <t>South Tower</t>
        </is>
      </c>
      <c r="C6" s="8" t="inlineStr">
        <is>
          <t>2</t>
        </is>
      </c>
      <c r="D6" s="8" t="inlineStr">
        <is>
          <t>214</t>
        </is>
      </c>
      <c r="E6" s="8" t="inlineStr">
        <is>
          <t>Fail</t>
        </is>
      </c>
      <c r="F6" s="8" t="inlineStr">
        <is>
          <t>OK</t>
        </is>
      </c>
      <c r="G6" s="8" t="inlineStr">
        <is>
          <t>Repair</t>
        </is>
      </c>
      <c r="H6" s="8" t="inlineStr">
        <is>
          <t>OK</t>
        </is>
      </c>
      <c r="I6" s="8" t="inlineStr">
        <is>
          <t>Repair</t>
        </is>
      </c>
      <c r="J6" s="8" t="inlineStr">
        <is>
          <t>OK</t>
        </is>
      </c>
      <c r="K6" s="8" t="inlineStr">
        <is>
          <t>Bathroom leak and damaged vinyl edge</t>
        </is>
      </c>
      <c r="L6" s="8" t="inlineStr">
        <is>
          <t>High</t>
        </is>
      </c>
      <c r="M6" s="8" t="inlineStr">
        <is>
          <t>WO-2403</t>
        </is>
      </c>
      <c r="N6" s="8" t="inlineStr">
        <is>
          <t>Maintenance Supervisor</t>
        </is>
      </c>
      <c r="O6" s="8" t="inlineStr">
        <is>
          <t>2026-07-16</t>
        </is>
      </c>
    </row>
    <row r="7">
      <c r="A7" s="8" t="inlineStr">
        <is>
          <t>2026-07-16</t>
        </is>
      </c>
      <c r="B7" s="8" t="inlineStr">
        <is>
          <t>South Tower</t>
        </is>
      </c>
      <c r="C7" s="8" t="inlineStr">
        <is>
          <t>3</t>
        </is>
      </c>
      <c r="D7" s="8" t="inlineStr">
        <is>
          <t>318</t>
        </is>
      </c>
      <c r="E7" s="8" t="inlineStr">
        <is>
          <t>Pass</t>
        </is>
      </c>
      <c r="F7" s="8" t="inlineStr">
        <is>
          <t>OK</t>
        </is>
      </c>
      <c r="G7" s="8" t="inlineStr">
        <is>
          <t>OK</t>
        </is>
      </c>
      <c r="H7" s="8" t="inlineStr">
        <is>
          <t>OK</t>
        </is>
      </c>
      <c r="I7" s="8" t="inlineStr">
        <is>
          <t>OK</t>
        </is>
      </c>
      <c r="J7" s="8" t="inlineStr">
        <is>
          <t>OK</t>
        </is>
      </c>
      <c r="K7" s="8" t="inlineStr">
        <is>
          <t>Deep-clean complete</t>
        </is>
      </c>
      <c r="L7" s="8" t="inlineStr">
        <is>
          <t>Low</t>
        </is>
      </c>
      <c r="M7" s="8" t="inlineStr">
        <is>
          <t>WO-2404</t>
        </is>
      </c>
      <c r="N7" s="8" t="inlineStr">
        <is>
          <t>Room Inspector</t>
        </is>
      </c>
      <c r="O7" s="8" t="inlineStr">
        <is>
          <t>2026-07-18</t>
        </is>
      </c>
    </row>
    <row r="8">
      <c r="A8" s="8" t="inlineStr">
        <is>
          <t>2026-07-16</t>
        </is>
      </c>
      <c r="B8" s="8" t="inlineStr">
        <is>
          <t>Main Building</t>
        </is>
      </c>
      <c r="C8" s="8" t="inlineStr">
        <is>
          <t>Lobby</t>
        </is>
      </c>
      <c r="D8" s="8" t="inlineStr">
        <is>
          <t>Fitness</t>
        </is>
      </c>
      <c r="E8" s="8" t="inlineStr">
        <is>
          <t>Follow-Up</t>
        </is>
      </c>
      <c r="F8" s="8" t="inlineStr">
        <is>
          <t>OK</t>
        </is>
      </c>
      <c r="G8" s="8" t="inlineStr">
        <is>
          <t>OK</t>
        </is>
      </c>
      <c r="H8" s="8" t="inlineStr">
        <is>
          <t>Repair</t>
        </is>
      </c>
      <c r="I8" s="8" t="inlineStr">
        <is>
          <t>OK</t>
        </is>
      </c>
      <c r="J8" s="8" t="inlineStr">
        <is>
          <t>OK</t>
        </is>
      </c>
      <c r="K8" s="8" t="inlineStr">
        <is>
          <t>Treadmill outlet trips under load</t>
        </is>
      </c>
      <c r="L8" s="8" t="inlineStr">
        <is>
          <t>Medium</t>
        </is>
      </c>
      <c r="M8" s="8" t="inlineStr">
        <is>
          <t>WO-2405</t>
        </is>
      </c>
      <c r="N8" s="8" t="inlineStr">
        <is>
          <t>Electrician</t>
        </is>
      </c>
      <c r="O8" s="8" t="inlineStr">
        <is>
          <t>2026-07-18</t>
        </is>
      </c>
    </row>
  </sheetData>
  <autoFilter ref="A3:O8"/>
  <conditionalFormatting sqref="E4:E250">
    <cfRule type="cellIs" priority="1" operator="equal" dxfId="0">
      <formula>"Pass"</formula>
    </cfRule>
    <cfRule type="cellIs" priority="2" operator="equal" dxfId="1">
      <formula>"Follow-Up"</formula>
    </cfRule>
    <cfRule type="cellIs" priority="3" operator="equal" dxfId="2">
      <formula>"Fail"</formula>
    </cfRule>
  </conditionalFormatting>
  <conditionalFormatting sqref="L4:L250">
    <cfRule type="cellIs" priority="4" operator="equal" dxfId="2">
      <formula>"Critical"</formula>
    </cfRule>
  </conditionalFormatting>
  <dataValidations count="3">
    <dataValidation sqref="E4:E250" showDropDown="0" showInputMessage="0" showErrorMessage="0" allowBlank="0" type="list">
      <formula1>=Lists!$A$2:$A$4</formula1>
    </dataValidation>
    <dataValidation sqref="F4:J250" showDropDown="0" showInputMessage="0" showErrorMessage="0" allowBlank="0" type="list">
      <formula1>=Lists!$B$2:$B$4</formula1>
    </dataValidation>
    <dataValidation sqref="L4:L250" showDropDown="0" showInputMessage="0" showErrorMessage="0" allowBlank="0" type="list">
      <formula1>=Lists!$C$2:$C$5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8" customWidth="1" min="5" max="5"/>
    <col width="12" customWidth="1" min="6" max="6"/>
    <col width="10" customWidth="1" min="7" max="7"/>
    <col width="10" customWidth="1" min="8" max="8"/>
    <col width="12" customWidth="1" min="9" max="9"/>
    <col width="14" customWidth="1" min="10" max="10"/>
    <col width="14" customWidth="1" min="11" max="11"/>
    <col width="12" customWidth="1" min="12" max="12"/>
    <col width="16" customWidth="1" min="13" max="13"/>
    <col width="28" customWidth="1" min="14" max="14"/>
  </cols>
  <sheetData>
    <row r="1">
      <c r="A1" s="1" t="inlineStr">
        <is>
          <t>Parts Inventory</t>
        </is>
      </c>
    </row>
    <row r="2">
      <c r="A2" s="2" t="inlineStr">
        <is>
          <t>Manage critical spares, reorder triggers, vendors, and storage locations.</t>
        </is>
      </c>
    </row>
    <row r="3">
      <c r="A3" s="7" t="inlineStr">
        <is>
          <t>Part ID</t>
        </is>
      </c>
      <c r="B3" s="7" t="inlineStr">
        <is>
          <t>Category</t>
        </is>
      </c>
      <c r="C3" s="7" t="inlineStr">
        <is>
          <t>Part Name</t>
        </is>
      </c>
      <c r="D3" s="7" t="inlineStr">
        <is>
          <t>Equipment/Area</t>
        </is>
      </c>
      <c r="E3" s="7" t="inlineStr">
        <is>
          <t>Vendor</t>
        </is>
      </c>
      <c r="F3" s="7" t="inlineStr">
        <is>
          <t>Unit Cost</t>
        </is>
      </c>
      <c r="G3" s="7" t="inlineStr">
        <is>
          <t>On Hand</t>
        </is>
      </c>
      <c r="H3" s="7" t="inlineStr">
        <is>
          <t>Min Level</t>
        </is>
      </c>
      <c r="I3" s="7" t="inlineStr">
        <is>
          <t>Reorder Qty</t>
        </is>
      </c>
      <c r="J3" s="7" t="inlineStr">
        <is>
          <t>Lead Time (Days)</t>
        </is>
      </c>
      <c r="K3" s="7" t="inlineStr">
        <is>
          <t>Reorder Status</t>
        </is>
      </c>
      <c r="L3" s="7" t="inlineStr">
        <is>
          <t>Critical Item</t>
        </is>
      </c>
      <c r="M3" s="7" t="inlineStr">
        <is>
          <t>Storage Location</t>
        </is>
      </c>
      <c r="N3" s="7" t="inlineStr">
        <is>
          <t>Notes</t>
        </is>
      </c>
    </row>
    <row r="4">
      <c r="A4" s="8" t="inlineStr">
        <is>
          <t>INV-001</t>
        </is>
      </c>
      <c r="B4" s="8" t="inlineStr">
        <is>
          <t>HVAC</t>
        </is>
      </c>
      <c r="C4" s="8" t="inlineStr">
        <is>
          <t>PTAC Filter</t>
        </is>
      </c>
      <c r="D4" s="8" t="inlineStr">
        <is>
          <t>Guest Rooms</t>
        </is>
      </c>
      <c r="E4" s="8" t="inlineStr">
        <is>
          <t>Grainger</t>
        </is>
      </c>
      <c r="F4" s="8" t="n">
        <v>12.5</v>
      </c>
      <c r="G4" s="8" t="n">
        <v>40</v>
      </c>
      <c r="H4" s="8" t="n">
        <v>20</v>
      </c>
      <c r="I4" s="8" t="n">
        <v>30</v>
      </c>
      <c r="J4" s="8" t="n">
        <v>4</v>
      </c>
      <c r="K4" s="8">
        <f>IF(G4&lt;=H4,"Reorder","OK")</f>
        <v/>
      </c>
      <c r="L4" s="8" t="inlineStr">
        <is>
          <t>Yes</t>
        </is>
      </c>
      <c r="M4" s="8" t="inlineStr">
        <is>
          <t>Shelf A1</t>
        </is>
      </c>
      <c r="N4" s="8" t="inlineStr">
        <is>
          <t>Quarterly swap item</t>
        </is>
      </c>
    </row>
    <row r="5">
      <c r="A5" s="8" t="inlineStr">
        <is>
          <t>INV-002</t>
        </is>
      </c>
      <c r="B5" s="8" t="inlineStr">
        <is>
          <t>Electrical</t>
        </is>
      </c>
      <c r="C5" s="8" t="inlineStr">
        <is>
          <t>LED 9W Bulb</t>
        </is>
      </c>
      <c r="D5" s="8" t="inlineStr">
        <is>
          <t>Guest Rooms</t>
        </is>
      </c>
      <c r="E5" s="8" t="inlineStr">
        <is>
          <t>Home Depot</t>
        </is>
      </c>
      <c r="F5" s="8" t="n">
        <v>3.75</v>
      </c>
      <c r="G5" s="8" t="n">
        <v>80</v>
      </c>
      <c r="H5" s="8" t="n">
        <v>60</v>
      </c>
      <c r="I5" s="8" t="n">
        <v>120</v>
      </c>
      <c r="J5" s="8" t="n">
        <v>2</v>
      </c>
      <c r="K5" s="8">
        <f>IF(G5&lt;=H5,"Reorder","OK")</f>
        <v/>
      </c>
      <c r="L5" s="8" t="inlineStr">
        <is>
          <t>Yes</t>
        </is>
      </c>
      <c r="M5" s="8" t="inlineStr">
        <is>
          <t>Shelf B2</t>
        </is>
      </c>
      <c r="N5" s="8" t="inlineStr">
        <is>
          <t>Warm white standard</t>
        </is>
      </c>
    </row>
    <row r="6">
      <c r="A6" s="8" t="inlineStr">
        <is>
          <t>INV-003</t>
        </is>
      </c>
      <c r="B6" s="8" t="inlineStr">
        <is>
          <t>Plumbing</t>
        </is>
      </c>
      <c r="C6" s="8" t="inlineStr">
        <is>
          <t>1/2 in Supply Line</t>
        </is>
      </c>
      <c r="D6" s="8" t="inlineStr">
        <is>
          <t>Bathrooms</t>
        </is>
      </c>
      <c r="E6" s="8" t="inlineStr">
        <is>
          <t>Ferguson</t>
        </is>
      </c>
      <c r="F6" s="8" t="n">
        <v>9.949999999999999</v>
      </c>
      <c r="G6" s="8" t="n">
        <v>12</v>
      </c>
      <c r="H6" s="8" t="n">
        <v>15</v>
      </c>
      <c r="I6" s="8" t="n">
        <v>20</v>
      </c>
      <c r="J6" s="8" t="n">
        <v>3</v>
      </c>
      <c r="K6" s="8">
        <f>IF(G6&lt;=H6,"Reorder","OK")</f>
        <v/>
      </c>
      <c r="L6" s="8" t="inlineStr">
        <is>
          <t>No</t>
        </is>
      </c>
      <c r="M6" s="8" t="inlineStr">
        <is>
          <t>Shelf C1</t>
        </is>
      </c>
      <c r="N6" s="8" t="inlineStr">
        <is>
          <t>Common faucet repair</t>
        </is>
      </c>
    </row>
    <row r="7">
      <c r="A7" s="8" t="inlineStr">
        <is>
          <t>INV-004</t>
        </is>
      </c>
      <c r="B7" s="8" t="inlineStr">
        <is>
          <t>Life Safety</t>
        </is>
      </c>
      <c r="C7" s="8" t="inlineStr">
        <is>
          <t>Smoke Detector</t>
        </is>
      </c>
      <c r="D7" s="8" t="inlineStr">
        <is>
          <t>Guest Rooms</t>
        </is>
      </c>
      <c r="E7" s="8" t="inlineStr">
        <is>
          <t>HD Supply</t>
        </is>
      </c>
      <c r="F7" s="8" t="n">
        <v>28</v>
      </c>
      <c r="G7" s="8" t="n">
        <v>8</v>
      </c>
      <c r="H7" s="8" t="n">
        <v>10</v>
      </c>
      <c r="I7" s="8" t="n">
        <v>12</v>
      </c>
      <c r="J7" s="8" t="n">
        <v>5</v>
      </c>
      <c r="K7" s="8">
        <f>IF(G7&lt;=H7,"Reorder","OK")</f>
        <v/>
      </c>
      <c r="L7" s="8" t="inlineStr">
        <is>
          <t>Yes</t>
        </is>
      </c>
      <c r="M7" s="8" t="inlineStr">
        <is>
          <t>Cage 1</t>
        </is>
      </c>
      <c r="N7" s="8" t="inlineStr">
        <is>
          <t>Serialized component</t>
        </is>
      </c>
    </row>
    <row r="8">
      <c r="A8" s="8" t="inlineStr">
        <is>
          <t>INV-005</t>
        </is>
      </c>
      <c r="B8" s="8" t="inlineStr">
        <is>
          <t>General</t>
        </is>
      </c>
      <c r="C8" s="8" t="inlineStr">
        <is>
          <t>Door Closer</t>
        </is>
      </c>
      <c r="D8" s="8" t="inlineStr">
        <is>
          <t>Hallways</t>
        </is>
      </c>
      <c r="E8" s="8" t="inlineStr">
        <is>
          <t>Amazon Business</t>
        </is>
      </c>
      <c r="F8" s="8" t="n">
        <v>45</v>
      </c>
      <c r="G8" s="8" t="n">
        <v>6</v>
      </c>
      <c r="H8" s="8" t="n">
        <v>4</v>
      </c>
      <c r="I8" s="8" t="n">
        <v>6</v>
      </c>
      <c r="J8" s="8" t="n">
        <v>2</v>
      </c>
      <c r="K8" s="8">
        <f>IF(G8&lt;=H8,"Reorder","OK")</f>
        <v/>
      </c>
      <c r="L8" s="8" t="inlineStr">
        <is>
          <t>No</t>
        </is>
      </c>
      <c r="M8" s="8" t="inlineStr">
        <is>
          <t>Shelf D4</t>
        </is>
      </c>
      <c r="N8" s="8" t="inlineStr">
        <is>
          <t>ADA compliant</t>
        </is>
      </c>
    </row>
  </sheetData>
  <autoFilter ref="A3:N8"/>
  <conditionalFormatting sqref="K4:K250">
    <cfRule type="cellIs" priority="1" operator="equal" dxfId="1">
      <formula>"Reorder"</formula>
    </cfRule>
  </conditionalFormatting>
  <conditionalFormatting sqref="L4:L250">
    <cfRule type="cellIs" priority="2" operator="equal" dxfId="3">
      <formula>"Yes"</formula>
    </cfRule>
  </conditionalFormatting>
  <dataValidations count="1">
    <dataValidation sqref="L4:L250" showDropDown="0" showInputMessage="0" showErrorMessage="0" allowBlank="0" type="list">
      <formula1>=Lists!$E$2:$E$3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4" customWidth="1" min="8" max="8"/>
    <col width="14" customWidth="1" min="9" max="9"/>
    <col width="28" customWidth="1" min="10" max="10"/>
  </cols>
  <sheetData>
    <row r="1">
      <c r="A1" s="1" t="inlineStr">
        <is>
          <t>Daily Maintenance Tasks</t>
        </is>
      </c>
    </row>
    <row r="2">
      <c r="A2" s="2" t="inlineStr">
        <is>
          <t>Use this sheet to manage daily building checks, hotel operations walk-throughs, and shift handoffs.</t>
        </is>
      </c>
    </row>
    <row r="3">
      <c r="A3" s="7" t="inlineStr">
        <is>
          <t>Task ID</t>
        </is>
      </c>
      <c r="B3" s="7" t="inlineStr">
        <is>
          <t>Area</t>
        </is>
      </c>
      <c r="C3" s="7" t="inlineStr">
        <is>
          <t>Task</t>
        </is>
      </c>
      <c r="D3" s="7" t="inlineStr">
        <is>
          <t>Assigned To</t>
        </is>
      </c>
      <c r="E3" s="7" t="inlineStr">
        <is>
          <t>Frequency</t>
        </is>
      </c>
      <c r="F3" s="7" t="inlineStr">
        <is>
          <t>Due Day/Date</t>
        </is>
      </c>
      <c r="G3" s="7" t="inlineStr">
        <is>
          <t>Est. Minutes</t>
        </is>
      </c>
      <c r="H3" s="7" t="inlineStr">
        <is>
          <t>Status</t>
        </is>
      </c>
      <c r="I3" s="7" t="inlineStr">
        <is>
          <t>Last Completed</t>
        </is>
      </c>
      <c r="J3" s="7" t="inlineStr">
        <is>
          <t>Notes</t>
        </is>
      </c>
    </row>
    <row r="4">
      <c r="A4" s="8" t="inlineStr">
        <is>
          <t>D-001</t>
        </is>
      </c>
      <c r="B4" s="8" t="inlineStr">
        <is>
          <t>Boiler Room</t>
        </is>
      </c>
      <c r="C4" s="8" t="inlineStr">
        <is>
          <t>Check boiler pressure, temperature, and leak points</t>
        </is>
      </c>
      <c r="D4" s="8" t="inlineStr">
        <is>
          <t>AM Engineer</t>
        </is>
      </c>
      <c r="E4" s="8" t="inlineStr">
        <is>
          <t>Daily</t>
        </is>
      </c>
      <c r="F4" s="8" t="inlineStr">
        <is>
          <t>Every Day</t>
        </is>
      </c>
      <c r="G4" s="8" t="n">
        <v>20</v>
      </c>
      <c r="H4" s="8" t="inlineStr">
        <is>
          <t>Complete</t>
        </is>
      </c>
      <c r="I4" s="8" t="inlineStr">
        <is>
          <t>2026-07-16</t>
        </is>
      </c>
      <c r="J4" s="8" t="inlineStr">
        <is>
          <t>Document readings in log book</t>
        </is>
      </c>
    </row>
    <row r="5">
      <c r="A5" s="8" t="inlineStr">
        <is>
          <t>D-002</t>
        </is>
      </c>
      <c r="B5" s="8" t="inlineStr">
        <is>
          <t>Pool</t>
        </is>
      </c>
      <c r="C5" s="8" t="inlineStr">
        <is>
          <t>Verify pool chemistry and equipment alarms</t>
        </is>
      </c>
      <c r="D5" s="8" t="inlineStr">
        <is>
          <t>PM Engineer</t>
        </is>
      </c>
      <c r="E5" s="8" t="inlineStr">
        <is>
          <t>Daily</t>
        </is>
      </c>
      <c r="F5" s="8" t="inlineStr">
        <is>
          <t>Every Day</t>
        </is>
      </c>
      <c r="G5" s="8" t="n">
        <v>15</v>
      </c>
      <c r="H5" s="8" t="inlineStr">
        <is>
          <t>In Progress</t>
        </is>
      </c>
      <c r="I5" s="8" t="inlineStr">
        <is>
          <t>2026-07-15</t>
        </is>
      </c>
      <c r="J5" s="8" t="inlineStr">
        <is>
          <t>Coordinate with front desk on closures</t>
        </is>
      </c>
    </row>
    <row r="6">
      <c r="A6" s="8" t="inlineStr">
        <is>
          <t>D-003</t>
        </is>
      </c>
      <c r="B6" s="8" t="inlineStr">
        <is>
          <t>Public Areas</t>
        </is>
      </c>
      <c r="C6" s="8" t="inlineStr">
        <is>
          <t>Inspect lobby, corridors, and elevators for lighting or trip hazards</t>
        </is>
      </c>
      <c r="D6" s="8" t="inlineStr">
        <is>
          <t>Shift Engineer</t>
        </is>
      </c>
      <c r="E6" s="8" t="inlineStr">
        <is>
          <t>Daily</t>
        </is>
      </c>
      <c r="F6" s="8" t="inlineStr">
        <is>
          <t>Every Day</t>
        </is>
      </c>
      <c r="G6" s="8" t="n">
        <v>25</v>
      </c>
      <c r="H6" s="8" t="inlineStr">
        <is>
          <t>Not Started</t>
        </is>
      </c>
      <c r="I6" s="8" t="inlineStr">
        <is>
          <t>2026-07-15</t>
        </is>
      </c>
      <c r="J6" s="8" t="inlineStr">
        <is>
          <t>Open work order for deficiencies</t>
        </is>
      </c>
    </row>
    <row r="7">
      <c r="A7" s="8" t="inlineStr">
        <is>
          <t>D-004</t>
        </is>
      </c>
      <c r="B7" s="8" t="inlineStr">
        <is>
          <t>Exterior</t>
        </is>
      </c>
      <c r="C7" s="8" t="inlineStr">
        <is>
          <t>Check parking lot, signage, and entry doors</t>
        </is>
      </c>
      <c r="D7" s="8" t="inlineStr">
        <is>
          <t>Shift Engineer</t>
        </is>
      </c>
      <c r="E7" s="8" t="inlineStr">
        <is>
          <t>Daily</t>
        </is>
      </c>
      <c r="F7" s="8" t="inlineStr">
        <is>
          <t>Every Day</t>
        </is>
      </c>
      <c r="G7" s="8" t="n">
        <v>15</v>
      </c>
      <c r="H7" s="8" t="inlineStr">
        <is>
          <t>Complete</t>
        </is>
      </c>
      <c r="I7" s="8" t="inlineStr">
        <is>
          <t>2026-07-16</t>
        </is>
      </c>
      <c r="J7" s="8" t="inlineStr">
        <is>
          <t>Note weather-related issues</t>
        </is>
      </c>
    </row>
  </sheetData>
  <autoFilter ref="A3:J7"/>
  <conditionalFormatting sqref="H4:H250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"Deferred"</formula>
    </cfRule>
  </conditionalFormatting>
  <dataValidations count="1">
    <dataValidation sqref="H4:H250" showDropDown="0" showInputMessage="0" showErrorMessage="0" allowBlank="0" type="list">
      <formula1>=Lists!$D$2:$D$5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4" customWidth="1" min="8" max="8"/>
    <col width="14" customWidth="1" min="9" max="9"/>
    <col width="28" customWidth="1" min="10" max="10"/>
  </cols>
  <sheetData>
    <row r="1">
      <c r="A1" s="1" t="inlineStr">
        <is>
          <t>Weekly Maintenance Tasks</t>
        </is>
      </c>
    </row>
    <row r="2">
      <c r="A2" s="2" t="inlineStr">
        <is>
          <t>Use this sheet to plan recurring weekly preventive maintenance work.</t>
        </is>
      </c>
    </row>
    <row r="3">
      <c r="A3" s="7" t="inlineStr">
        <is>
          <t>Task ID</t>
        </is>
      </c>
      <c r="B3" s="7" t="inlineStr">
        <is>
          <t>Area</t>
        </is>
      </c>
      <c r="C3" s="7" t="inlineStr">
        <is>
          <t>Task</t>
        </is>
      </c>
      <c r="D3" s="7" t="inlineStr">
        <is>
          <t>Assigned To</t>
        </is>
      </c>
      <c r="E3" s="7" t="inlineStr">
        <is>
          <t>Frequency</t>
        </is>
      </c>
      <c r="F3" s="7" t="inlineStr">
        <is>
          <t>Due Day/Date</t>
        </is>
      </c>
      <c r="G3" s="7" t="inlineStr">
        <is>
          <t>Est. Minutes</t>
        </is>
      </c>
      <c r="H3" s="7" t="inlineStr">
        <is>
          <t>Status</t>
        </is>
      </c>
      <c r="I3" s="7" t="inlineStr">
        <is>
          <t>Last Completed</t>
        </is>
      </c>
      <c r="J3" s="7" t="inlineStr">
        <is>
          <t>Notes</t>
        </is>
      </c>
    </row>
    <row r="4">
      <c r="A4" s="8" t="inlineStr">
        <is>
          <t>W-001</t>
        </is>
      </c>
      <c r="B4" s="8" t="inlineStr">
        <is>
          <t>Guest Rooms</t>
        </is>
      </c>
      <c r="C4" s="8" t="inlineStr">
        <is>
          <t>Test sample of PTAC units and clean return grilles</t>
        </is>
      </c>
      <c r="D4" s="8" t="inlineStr">
        <is>
          <t>HVAC Tech</t>
        </is>
      </c>
      <c r="E4" s="8" t="inlineStr">
        <is>
          <t>Weekly</t>
        </is>
      </c>
      <c r="F4" s="8" t="inlineStr">
        <is>
          <t>Monday</t>
        </is>
      </c>
      <c r="G4" s="8" t="n">
        <v>90</v>
      </c>
      <c r="H4" s="8" t="inlineStr">
        <is>
          <t>Not Started</t>
        </is>
      </c>
      <c r="I4" s="8" t="inlineStr">
        <is>
          <t>2026-07-09</t>
        </is>
      </c>
      <c r="J4" s="8" t="inlineStr">
        <is>
          <t>Rotate floors weekly</t>
        </is>
      </c>
    </row>
    <row r="5">
      <c r="A5" s="8" t="inlineStr">
        <is>
          <t>W-002</t>
        </is>
      </c>
      <c r="B5" s="8" t="inlineStr">
        <is>
          <t>Fire Safety</t>
        </is>
      </c>
      <c r="C5" s="8" t="inlineStr">
        <is>
          <t>Test emergency lighting and exit signage</t>
        </is>
      </c>
      <c r="D5" s="8" t="inlineStr">
        <is>
          <t>Electrician</t>
        </is>
      </c>
      <c r="E5" s="8" t="inlineStr">
        <is>
          <t>Weekly</t>
        </is>
      </c>
      <c r="F5" s="8" t="inlineStr">
        <is>
          <t>Tuesday</t>
        </is>
      </c>
      <c r="G5" s="8" t="n">
        <v>60</v>
      </c>
      <c r="H5" s="8" t="inlineStr">
        <is>
          <t>Complete</t>
        </is>
      </c>
      <c r="I5" s="8" t="inlineStr">
        <is>
          <t>2026-07-15</t>
        </is>
      </c>
      <c r="J5" s="8" t="inlineStr">
        <is>
          <t>Log failures for replacement</t>
        </is>
      </c>
    </row>
    <row r="6">
      <c r="A6" s="8" t="inlineStr">
        <is>
          <t>W-003</t>
        </is>
      </c>
      <c r="B6" s="8" t="inlineStr">
        <is>
          <t>Water Systems</t>
        </is>
      </c>
      <c r="C6" s="8" t="inlineStr">
        <is>
          <t>Flush low-use fixtures and inspect for odor</t>
        </is>
      </c>
      <c r="D6" s="8" t="inlineStr">
        <is>
          <t>Plumber</t>
        </is>
      </c>
      <c r="E6" s="8" t="inlineStr">
        <is>
          <t>Weekly</t>
        </is>
      </c>
      <c r="F6" s="8" t="inlineStr">
        <is>
          <t>Wednesday</t>
        </is>
      </c>
      <c r="G6" s="8" t="n">
        <v>45</v>
      </c>
      <c r="H6" s="8" t="inlineStr">
        <is>
          <t>In Progress</t>
        </is>
      </c>
      <c r="I6" s="8" t="inlineStr">
        <is>
          <t>2026-07-10</t>
        </is>
      </c>
      <c r="J6" s="8" t="inlineStr">
        <is>
          <t>Focus on out-of-order rooms</t>
        </is>
      </c>
    </row>
    <row r="7">
      <c r="A7" s="8" t="inlineStr">
        <is>
          <t>W-004</t>
        </is>
      </c>
      <c r="B7" s="8" t="inlineStr">
        <is>
          <t>Exterior</t>
        </is>
      </c>
      <c r="C7" s="8" t="inlineStr">
        <is>
          <t>Inspect roof drains, downspouts, and grounds irrigation</t>
        </is>
      </c>
      <c r="D7" s="8" t="inlineStr">
        <is>
          <t>Grounds/Maintenance</t>
        </is>
      </c>
      <c r="E7" s="8" t="inlineStr">
        <is>
          <t>Weekly</t>
        </is>
      </c>
      <c r="F7" s="8" t="inlineStr">
        <is>
          <t>Friday</t>
        </is>
      </c>
      <c r="G7" s="8" t="n">
        <v>75</v>
      </c>
      <c r="H7" s="8" t="inlineStr">
        <is>
          <t>Not Started</t>
        </is>
      </c>
      <c r="I7" s="8" t="inlineStr">
        <is>
          <t>2026-07-11</t>
        </is>
      </c>
      <c r="J7" s="8" t="inlineStr">
        <is>
          <t>Escalate ponding issues immediately</t>
        </is>
      </c>
    </row>
  </sheetData>
  <autoFilter ref="A3:J7"/>
  <conditionalFormatting sqref="H4:H250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"Deferred"</formula>
    </cfRule>
  </conditionalFormatting>
  <dataValidations count="1">
    <dataValidation sqref="H4:H250" showDropDown="0" showInputMessage="0" showErrorMessage="0" allowBlank="0" type="list">
      <formula1>=Lists!$D$2:$D$5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4" customWidth="1" min="8" max="8"/>
    <col width="14" customWidth="1" min="9" max="9"/>
    <col width="28" customWidth="1" min="10" max="10"/>
  </cols>
  <sheetData>
    <row r="1">
      <c r="A1" s="1" t="inlineStr">
        <is>
          <t>Monthly Maintenance Tasks</t>
        </is>
      </c>
    </row>
    <row r="2">
      <c r="A2" s="2" t="inlineStr">
        <is>
          <t>Use this sheet to track higher-touch preventive maintenance and inventory routines.</t>
        </is>
      </c>
    </row>
    <row r="3">
      <c r="A3" s="7" t="inlineStr">
        <is>
          <t>Task ID</t>
        </is>
      </c>
      <c r="B3" s="7" t="inlineStr">
        <is>
          <t>Area</t>
        </is>
      </c>
      <c r="C3" s="7" t="inlineStr">
        <is>
          <t>Task</t>
        </is>
      </c>
      <c r="D3" s="7" t="inlineStr">
        <is>
          <t>Assigned To</t>
        </is>
      </c>
      <c r="E3" s="7" t="inlineStr">
        <is>
          <t>Frequency</t>
        </is>
      </c>
      <c r="F3" s="7" t="inlineStr">
        <is>
          <t>Due Day/Date</t>
        </is>
      </c>
      <c r="G3" s="7" t="inlineStr">
        <is>
          <t>Est. Minutes</t>
        </is>
      </c>
      <c r="H3" s="7" t="inlineStr">
        <is>
          <t>Status</t>
        </is>
      </c>
      <c r="I3" s="7" t="inlineStr">
        <is>
          <t>Last Completed</t>
        </is>
      </c>
      <c r="J3" s="7" t="inlineStr">
        <is>
          <t>Notes</t>
        </is>
      </c>
    </row>
    <row r="4">
      <c r="A4" s="8" t="inlineStr">
        <is>
          <t>M-001</t>
        </is>
      </c>
      <c r="B4" s="8" t="inlineStr">
        <is>
          <t>Life Safety</t>
        </is>
      </c>
      <c r="C4" s="8" t="inlineStr">
        <is>
          <t>Inspect fire extinguishers and document seal/pressure status</t>
        </is>
      </c>
      <c r="D4" s="8" t="inlineStr">
        <is>
          <t>Chief Engineer</t>
        </is>
      </c>
      <c r="E4" s="8" t="inlineStr">
        <is>
          <t>Monthly</t>
        </is>
      </c>
      <c r="F4" s="8" t="inlineStr">
        <is>
          <t>1st Business Day</t>
        </is>
      </c>
      <c r="G4" s="8" t="n">
        <v>75</v>
      </c>
      <c r="H4" s="8" t="inlineStr">
        <is>
          <t>Not Started</t>
        </is>
      </c>
      <c r="I4" s="8" t="inlineStr">
        <is>
          <t>2026-06-30</t>
        </is>
      </c>
      <c r="J4" s="8" t="inlineStr">
        <is>
          <t>Coordinate with vendor if replacement is needed</t>
        </is>
      </c>
    </row>
    <row r="5">
      <c r="A5" s="8" t="inlineStr">
        <is>
          <t>M-002</t>
        </is>
      </c>
      <c r="B5" s="8" t="inlineStr">
        <is>
          <t>Guest Rooms</t>
        </is>
      </c>
      <c r="C5" s="8" t="inlineStr">
        <is>
          <t>Deep inspection of 10% of rooms with furnishings checklist</t>
        </is>
      </c>
      <c r="D5" s="8" t="inlineStr">
        <is>
          <t>Maintenance Supervisor</t>
        </is>
      </c>
      <c r="E5" s="8" t="inlineStr">
        <is>
          <t>Monthly</t>
        </is>
      </c>
      <c r="F5" s="8" t="inlineStr">
        <is>
          <t>2nd Week</t>
        </is>
      </c>
      <c r="G5" s="8" t="n">
        <v>180</v>
      </c>
      <c r="H5" s="8" t="inlineStr">
        <is>
          <t>In Progress</t>
        </is>
      </c>
      <c r="I5" s="8" t="inlineStr">
        <is>
          <t>2026-06-20</t>
        </is>
      </c>
      <c r="J5" s="8" t="inlineStr">
        <is>
          <t>Use room inspection sheet for findings</t>
        </is>
      </c>
    </row>
    <row r="6">
      <c r="A6" s="8" t="inlineStr">
        <is>
          <t>M-003</t>
        </is>
      </c>
      <c r="B6" s="8" t="inlineStr">
        <is>
          <t>Inventory</t>
        </is>
      </c>
      <c r="C6" s="8" t="inlineStr">
        <is>
          <t>Cycle count critical spares and update reorder points</t>
        </is>
      </c>
      <c r="D6" s="8" t="inlineStr">
        <is>
          <t>Storeroom Clerk</t>
        </is>
      </c>
      <c r="E6" s="8" t="inlineStr">
        <is>
          <t>Monthly</t>
        </is>
      </c>
      <c r="F6" s="8" t="inlineStr">
        <is>
          <t>3rd Week</t>
        </is>
      </c>
      <c r="G6" s="8" t="n">
        <v>120</v>
      </c>
      <c r="H6" s="8" t="inlineStr">
        <is>
          <t>Complete</t>
        </is>
      </c>
      <c r="I6" s="8" t="inlineStr">
        <is>
          <t>2026-07-02</t>
        </is>
      </c>
      <c r="J6" s="8" t="inlineStr">
        <is>
          <t>Match with purchasing records</t>
        </is>
      </c>
    </row>
    <row r="7">
      <c r="A7" s="8" t="inlineStr">
        <is>
          <t>M-004</t>
        </is>
      </c>
      <c r="B7" s="8" t="inlineStr">
        <is>
          <t>Mechanical</t>
        </is>
      </c>
      <c r="C7" s="8" t="inlineStr">
        <is>
          <t>Lubricate motors, bearings, and door hardware</t>
        </is>
      </c>
      <c r="D7" s="8" t="inlineStr">
        <is>
          <t>Shift Engineer</t>
        </is>
      </c>
      <c r="E7" s="8" t="inlineStr">
        <is>
          <t>Monthly</t>
        </is>
      </c>
      <c r="F7" s="8" t="inlineStr">
        <is>
          <t>Last Week</t>
        </is>
      </c>
      <c r="G7" s="8" t="n">
        <v>150</v>
      </c>
      <c r="H7" s="8" t="inlineStr">
        <is>
          <t>Not Started</t>
        </is>
      </c>
      <c r="I7" s="8" t="inlineStr">
        <is>
          <t>2026-06-26</t>
        </is>
      </c>
      <c r="J7" s="8" t="inlineStr">
        <is>
          <t>Record used materials</t>
        </is>
      </c>
    </row>
  </sheetData>
  <autoFilter ref="A3:J7"/>
  <conditionalFormatting sqref="H4:H250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"Deferred"</formula>
    </cfRule>
  </conditionalFormatting>
  <dataValidations count="1">
    <dataValidation sqref="H4:H250" showDropDown="0" showInputMessage="0" showErrorMessage="0" allowBlank="0" type="list">
      <formula1>=Lists!$D$2:$D$5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Status</t>
        </is>
      </c>
      <c r="B1" t="inlineStr">
        <is>
          <t>System Status</t>
        </is>
      </c>
      <c r="C1" t="inlineStr">
        <is>
          <t>Priority</t>
        </is>
      </c>
      <c r="D1" t="inlineStr">
        <is>
          <t>Task Status</t>
        </is>
      </c>
      <c r="E1" t="inlineStr">
        <is>
          <t>Critical Item</t>
        </is>
      </c>
    </row>
    <row r="2">
      <c r="A2" t="inlineStr">
        <is>
          <t>Pass</t>
        </is>
      </c>
      <c r="B2" t="inlineStr">
        <is>
          <t>OK</t>
        </is>
      </c>
      <c r="C2" t="inlineStr">
        <is>
          <t>Low</t>
        </is>
      </c>
      <c r="D2" t="inlineStr">
        <is>
          <t>Not Started</t>
        </is>
      </c>
      <c r="E2" t="inlineStr">
        <is>
          <t>Yes</t>
        </is>
      </c>
    </row>
    <row r="3">
      <c r="A3" t="inlineStr">
        <is>
          <t>Follow-Up</t>
        </is>
      </c>
      <c r="B3" t="inlineStr">
        <is>
          <t>Repair</t>
        </is>
      </c>
      <c r="C3" t="inlineStr">
        <is>
          <t>Medium</t>
        </is>
      </c>
      <c r="D3" t="inlineStr">
        <is>
          <t>In Progress</t>
        </is>
      </c>
      <c r="E3" t="inlineStr">
        <is>
          <t>No</t>
        </is>
      </c>
    </row>
    <row r="4">
      <c r="A4" t="inlineStr">
        <is>
          <t>Fail</t>
        </is>
      </c>
      <c r="B4" t="inlineStr">
        <is>
          <t>Replace</t>
        </is>
      </c>
      <c r="C4" t="inlineStr">
        <is>
          <t>High</t>
        </is>
      </c>
      <c r="D4" t="inlineStr">
        <is>
          <t>Complete</t>
        </is>
      </c>
    </row>
    <row r="5">
      <c r="C5" t="inlineStr">
        <is>
          <t>Critical</t>
        </is>
      </c>
      <c r="D5" t="inlineStr">
        <is>
          <t>Deferred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2026-07-16T04:39:54Z</dcterms:created>
  <dcterms:modified xsi:type="dcterms:W3CDTF">2026-07-16T04:39:54Z</dcterms:modified>
</cp:coreProperties>
</file>
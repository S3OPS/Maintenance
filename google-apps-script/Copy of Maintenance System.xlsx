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Active Work Orders" sheetId="2" r:id="rId6"/>
    <sheet state="visible" name="Room Inspections" sheetId="3" r:id="rId7"/>
    <sheet state="visible" name="Parts Inventory" sheetId="4" r:id="rId8"/>
    <sheet state="visible" name="Daily Tasks" sheetId="5" r:id="rId9"/>
    <sheet state="visible" name="Weekly Tasks" sheetId="6" r:id="rId10"/>
    <sheet state="visible" name="Monthly Tasks" sheetId="7" r:id="rId11"/>
    <sheet state="hidden" name="Lists" sheetId="8" r:id="rId12"/>
    <sheet state="visible" name="Room Inspection PM" sheetId="9" r:id="rId13"/>
    <sheet state="visible" name="FLUSHMATE SNs" sheetId="10" r:id="rId14"/>
  </sheets>
  <definedNames>
    <definedName hidden="1" localSheetId="1" name="_xlnm._FilterDatabase">'Active Work Orders'!$A$3:$G$459</definedName>
    <definedName hidden="1" localSheetId="2" name="_xlnm._FilterDatabase">'Room Inspections'!$A$3:$N$250</definedName>
    <definedName hidden="1" localSheetId="3" name="_xlnm._FilterDatabase">'Parts Inventory'!$A$3:$N$8</definedName>
    <definedName hidden="1" localSheetId="4" name="_xlnm._FilterDatabase">'Daily Tasks'!$A$3:$J$7</definedName>
    <definedName hidden="1" localSheetId="5" name="_xlnm._FilterDatabase">'Weekly Tasks'!$A$3:$J$7</definedName>
    <definedName hidden="1" localSheetId="6" name="_xlnm._FilterDatabase">'Monthly Tasks'!$A$3:$J$7</definedName>
  </definedNames>
  <calcPr/>
</workbook>
</file>

<file path=xl/sharedStrings.xml><?xml version="1.0" encoding="utf-8"?>
<sst xmlns="http://schemas.openxmlformats.org/spreadsheetml/2006/main" count="1231" uniqueCount="603">
  <si>
    <t>Detailed Room Inspections - Marriott Fairfield</t>
  </si>
  <si>
    <t>Active Work Orders</t>
  </si>
  <si>
    <t>Parts Inventory</t>
  </si>
  <si>
    <t>Track room inspections, PM intervals, and follow-up status with a 30-day maintenance cycle.</t>
  </si>
  <si>
    <t>Track guest- or staff-reported issues that need immediate attention and follow-up.</t>
  </si>
  <si>
    <t>Date</t>
  </si>
  <si>
    <t>Manage critical spares, reorder triggers, vendors, and storage locations.</t>
  </si>
  <si>
    <t>Ticket ID</t>
  </si>
  <si>
    <t>Room/Space</t>
  </si>
  <si>
    <t>Inspection Status</t>
  </si>
  <si>
    <t>Part ID</t>
  </si>
  <si>
    <t>Room/Location</t>
  </si>
  <si>
    <t>HVAC</t>
  </si>
  <si>
    <t>Category</t>
  </si>
  <si>
    <t>Plumbing</t>
  </si>
  <si>
    <t>Issue Type</t>
  </si>
  <si>
    <t>Part Name</t>
  </si>
  <si>
    <t>Electrical</t>
  </si>
  <si>
    <t>Issue Description</t>
  </si>
  <si>
    <t>Equipment/Area</t>
  </si>
  <si>
    <t>Walls/Floors</t>
  </si>
  <si>
    <t>Priority</t>
  </si>
  <si>
    <t>Vendor</t>
  </si>
  <si>
    <t>Notes</t>
  </si>
  <si>
    <t>Unit Cost</t>
  </si>
  <si>
    <t>Date Reported</t>
  </si>
  <si>
    <t>Performed By</t>
  </si>
  <si>
    <t>On Hand</t>
  </si>
  <si>
    <t>Last PM Date</t>
  </si>
  <si>
    <t>Next Due Date</t>
  </si>
  <si>
    <t>Min Level</t>
  </si>
  <si>
    <t>Reorder Qty</t>
  </si>
  <si>
    <t>Days Remaining</t>
  </si>
  <si>
    <t>Status</t>
  </si>
  <si>
    <t>Lead Time (Days)</t>
  </si>
  <si>
    <t>PM Status</t>
  </si>
  <si>
    <t>Reorder Status</t>
  </si>
  <si>
    <t>Critical Item</t>
  </si>
  <si>
    <t>WO-001</t>
  </si>
  <si>
    <t>Storage Location</t>
  </si>
  <si>
    <t>Follow-Up</t>
  </si>
  <si>
    <t>OK</t>
  </si>
  <si>
    <t>Replace</t>
  </si>
  <si>
    <t>Repair</t>
  </si>
  <si>
    <t>Outlet needs to be replaced.Floor needs to be touched up in the bathroom.Walls and trim need to be repaired</t>
  </si>
  <si>
    <t>High</t>
  </si>
  <si>
    <t>Pablo</t>
  </si>
  <si>
    <t>Flushmate toilet system leaking full replacement needed.</t>
  </si>
  <si>
    <t>Critical</t>
  </si>
  <si>
    <t>Completed</t>
  </si>
  <si>
    <t>WO-002</t>
  </si>
  <si>
    <t>WO-003</t>
  </si>
  <si>
    <t>Other</t>
  </si>
  <si>
    <t>Misc.</t>
  </si>
  <si>
    <t>One of the belts on the vacuum for housekeeping broke needs to be replaced</t>
  </si>
  <si>
    <t>Medium</t>
  </si>
  <si>
    <t>Pass</t>
  </si>
  <si>
    <t>WO-005</t>
  </si>
  <si>
    <t xml:space="preserve">Asthetic fix, cable management under desk. </t>
  </si>
  <si>
    <t>Low</t>
  </si>
  <si>
    <t>Floors</t>
  </si>
  <si>
    <t>Doorstop is broken or off.</t>
  </si>
  <si>
    <t>WO-009</t>
  </si>
  <si>
    <t>Ceiling</t>
  </si>
  <si>
    <t xml:space="preserve">Water from 319s plumbing issue is leaking from the ceiling down onto everything. </t>
  </si>
  <si>
    <t>Handheld shower head is leaking needs to be replaced , and the silicone needs to be redone on the top of the shower</t>
  </si>
  <si>
    <t>WO-011</t>
  </si>
  <si>
    <t>Technology</t>
  </si>
  <si>
    <t xml:space="preserve">TV volume is not working. </t>
  </si>
  <si>
    <t xml:space="preserve">Nothing significant needs to be repaired or replaced. </t>
  </si>
  <si>
    <t>WO-012</t>
  </si>
  <si>
    <t xml:space="preserve">There seems to be an unusual amount of bugs in the room. </t>
  </si>
  <si>
    <t>WO-013</t>
  </si>
  <si>
    <t>Refrigerator not working properly</t>
  </si>
  <si>
    <t>WO-014</t>
  </si>
  <si>
    <t xml:space="preserve">Carpet needs to be Shampooed </t>
  </si>
  <si>
    <t>WO-015</t>
  </si>
  <si>
    <t>Wallpaper seams concealed better, clean and tab AC.</t>
  </si>
  <si>
    <t>Doors</t>
  </si>
  <si>
    <t>The shower door stopped needs to be adjusted</t>
  </si>
  <si>
    <t>WO-017</t>
  </si>
  <si>
    <t>Condensation from the a c is soaking the floor</t>
  </si>
  <si>
    <t>Touch up caulking in bathroom, clean and tab AC.</t>
  </si>
  <si>
    <t xml:space="preserve">Ac needs to be cleaned and tabbed. </t>
  </si>
  <si>
    <t xml:space="preserve">lever to turn on shower isn't working. </t>
  </si>
  <si>
    <t>🏨  Fairfield Maintenance Command Center</t>
  </si>
  <si>
    <t>Real-time operations dashboard  ·  Work Orders  ·  PM Schedules  ·  Parts Inventory  ·  Facility Health</t>
  </si>
  <si>
    <t xml:space="preserve">battery dead door will not open </t>
  </si>
  <si>
    <t>Readjust toilet actuator(Active WO-010), clean and tab AC.</t>
  </si>
  <si>
    <t>🎟️  Open Tickets</t>
  </si>
  <si>
    <t xml:space="preserve">room smells, fishy smell.  Ozone machine and shampoo carpet. </t>
  </si>
  <si>
    <t>Work Order Status</t>
  </si>
  <si>
    <t>toilet is making a weird sound.</t>
  </si>
  <si>
    <t>Open WOs by Priority</t>
  </si>
  <si>
    <t>🏠  Rooms w/ Open WOs</t>
  </si>
  <si>
    <t xml:space="preserve">Bugs in the room guest moved. </t>
  </si>
  <si>
    <t>Not Started</t>
  </si>
  <si>
    <t>🚨 Critical</t>
  </si>
  <si>
    <t xml:space="preserve">TV is not working properly. </t>
  </si>
  <si>
    <t>⚠️  PMs Overdue</t>
  </si>
  <si>
    <t>Work In Progress</t>
  </si>
  <si>
    <t>🔴 High</t>
  </si>
  <si>
    <t xml:space="preserve">Stains on floor, shampoo needed. </t>
  </si>
  <si>
    <t>Repair thermostat, clean and tab AC, replace door battery.</t>
  </si>
  <si>
    <t>📦  Parts to Reorder</t>
  </si>
  <si>
    <t>Walls</t>
  </si>
  <si>
    <t xml:space="preserve">Curtain needs to be reattached/adjusted. </t>
  </si>
  <si>
    <t>🟡 Medium</t>
  </si>
  <si>
    <t>🟢 Low</t>
  </si>
  <si>
    <t>🚨  Critical &amp; High Priority Open Work Orders</t>
  </si>
  <si>
    <t>🔔  Upcoming PM — Due Within 7 Days</t>
  </si>
  <si>
    <t>Room / Location</t>
  </si>
  <si>
    <t xml:space="preserve">Door battery needs to be replaced. </t>
  </si>
  <si>
    <t>Room / Space</t>
  </si>
  <si>
    <t xml:space="preserve">Sink isn't draining water.  </t>
  </si>
  <si>
    <t xml:space="preserve">Door battery needs to be replaced, TV cable needs to be replaced, and missing window lock. </t>
  </si>
  <si>
    <t>Climate/AC</t>
  </si>
  <si>
    <t>Noise/Crickets in the AC.</t>
  </si>
  <si>
    <t xml:space="preserve">Door battery needs to be replaced, missing window lock. </t>
  </si>
  <si>
    <t xml:space="preserve">Employee toilet needs to be repaired. </t>
  </si>
  <si>
    <t>Reattach the bodywash holder.</t>
  </si>
  <si>
    <t xml:space="preserve">TV cable needs to be replaced. </t>
  </si>
  <si>
    <t xml:space="preserve">Water from AC needed to be shampooed up. </t>
  </si>
  <si>
    <t xml:space="preserve">Multiple spots in bathroom need to be recaulked, missing window lock. </t>
  </si>
  <si>
    <t xml:space="preserve">Soda spilled carpet needs shampooed </t>
  </si>
  <si>
    <t xml:space="preserve">Tv data cable replaced to fix TV not turning off. </t>
  </si>
  <si>
    <t xml:space="preserve">Door battery needs to be replaced, Tv cable needs to be replaced, towel hanger needs to be adjusted/repaired. </t>
  </si>
  <si>
    <t>Dead battery door locked out.</t>
  </si>
  <si>
    <t xml:space="preserve">Water leaking from ceiling. </t>
  </si>
  <si>
    <t xml:space="preserve">Multiple spots in bathroom need to be recaulked. </t>
  </si>
  <si>
    <t>Replaced door battery to prevent lockout.</t>
  </si>
  <si>
    <t>Work Orders – Last 30 Days by Issue Type</t>
  </si>
  <si>
    <t>Count</t>
  </si>
  <si>
    <t>TV not working properly.</t>
  </si>
  <si>
    <t xml:space="preserve">Toilet needs further adjustment. </t>
  </si>
  <si>
    <t xml:space="preserve">Caulk the seal around the toilet.  </t>
  </si>
  <si>
    <t xml:space="preserve">Adjust toilet so it stops flushing on its own.  </t>
  </si>
  <si>
    <t>Safety</t>
  </si>
  <si>
    <t>Fridge in dining area needs to be unlocked.</t>
  </si>
  <si>
    <t>Daily Maintenance Tasks</t>
  </si>
  <si>
    <t>Use this sheet to manage daily building checks, hotel operations walk-throughs, and shift handoffs.</t>
  </si>
  <si>
    <t>Task ID</t>
  </si>
  <si>
    <t>Area</t>
  </si>
  <si>
    <t>Task</t>
  </si>
  <si>
    <t>Assigned To</t>
  </si>
  <si>
    <t>Frequency</t>
  </si>
  <si>
    <t>Due Day/Date</t>
  </si>
  <si>
    <t>Est. Minutes</t>
  </si>
  <si>
    <t>Last Completed</t>
  </si>
  <si>
    <t>D-001</t>
  </si>
  <si>
    <t>Boiler Room</t>
  </si>
  <si>
    <t>Check boiler pressure, temperature, and leak points</t>
  </si>
  <si>
    <t>AM Engineer</t>
  </si>
  <si>
    <t>Daily</t>
  </si>
  <si>
    <t>Every Day</t>
  </si>
  <si>
    <t>Complete</t>
  </si>
  <si>
    <t>Document readings in log book</t>
  </si>
  <si>
    <t>D-002</t>
  </si>
  <si>
    <t>Pool</t>
  </si>
  <si>
    <t>Verify pool chemistry and equipment alarms</t>
  </si>
  <si>
    <t>PM Engineer</t>
  </si>
  <si>
    <t>Coordinate with front desk on closures</t>
  </si>
  <si>
    <t xml:space="preserve">Doorstop needs to be adjusted. </t>
  </si>
  <si>
    <t>D-003</t>
  </si>
  <si>
    <t>Public Areas</t>
  </si>
  <si>
    <t>Inspect lobby, corridors, and elevators for lighting or trip hazards</t>
  </si>
  <si>
    <t>Shift Engineer</t>
  </si>
  <si>
    <t>Open work order for deficiencies</t>
  </si>
  <si>
    <t>D-004</t>
  </si>
  <si>
    <t>Exterior</t>
  </si>
  <si>
    <t>Check parking lot, signage, and entry doors</t>
  </si>
  <si>
    <t>Note weather-related issues</t>
  </si>
  <si>
    <t xml:space="preserve">AC cleaned and drained. </t>
  </si>
  <si>
    <t>Loose toilet seat.</t>
  </si>
  <si>
    <t xml:space="preserve">Mold clean up. </t>
  </si>
  <si>
    <t>Bathroom doorstop adjusted and fixed.</t>
  </si>
  <si>
    <t>Shower switch fixed.</t>
  </si>
  <si>
    <t>Weekly Maintenance Tasks</t>
  </si>
  <si>
    <t>Use this sheet to plan recurring weekly preventive maintenance work.</t>
  </si>
  <si>
    <t>Ozone machine placed for weird smell.</t>
  </si>
  <si>
    <t>W-001</t>
  </si>
  <si>
    <t>Guest Rooms</t>
  </si>
  <si>
    <t>Test sample of PTAC units and clean return grilles</t>
  </si>
  <si>
    <t>HVAC Tech</t>
  </si>
  <si>
    <t>Weekly</t>
  </si>
  <si>
    <t>Monday</t>
  </si>
  <si>
    <t>Rotate floors weekly</t>
  </si>
  <si>
    <t>W-002</t>
  </si>
  <si>
    <t>Fire Safety</t>
  </si>
  <si>
    <t>Test emergency lighting and exit signage</t>
  </si>
  <si>
    <t>Electrician</t>
  </si>
  <si>
    <t>Tuesday</t>
  </si>
  <si>
    <t>WO-004</t>
  </si>
  <si>
    <t>Log failures for replacement</t>
  </si>
  <si>
    <t>W-003</t>
  </si>
  <si>
    <t>Water Systems</t>
  </si>
  <si>
    <t>Flush low-use fixtures and inspect for odor</t>
  </si>
  <si>
    <t>Plumber</t>
  </si>
  <si>
    <t xml:space="preserve">The holder for the conditioner needs to be reattached. </t>
  </si>
  <si>
    <t>Wednesday</t>
  </si>
  <si>
    <t>In Progress</t>
  </si>
  <si>
    <t>Focus on out-of-order rooms</t>
  </si>
  <si>
    <t>W-004</t>
  </si>
  <si>
    <t>Inspect roof drains, downspouts, and grounds irrigation</t>
  </si>
  <si>
    <t>Grounds/Maintenance</t>
  </si>
  <si>
    <t>Friday</t>
  </si>
  <si>
    <t>WO-006</t>
  </si>
  <si>
    <t>Escalate ponding issues immediately</t>
  </si>
  <si>
    <t xml:space="preserve">Outlet needs to be replaced. </t>
  </si>
  <si>
    <t>WO-007</t>
  </si>
  <si>
    <t xml:space="preserve">Grout and Silicone need to be reapllied. </t>
  </si>
  <si>
    <t>WO-008</t>
  </si>
  <si>
    <t>Silicone needs to be reapplied on the shower walls.</t>
  </si>
  <si>
    <t>Refrigerator not working properly.</t>
  </si>
  <si>
    <t>Showerhead is leaking from the side.</t>
  </si>
  <si>
    <t>Thermostat shorted, condensation/water coming from hole in wall that feeds power to it.</t>
  </si>
  <si>
    <t>Thermostat needs to be replaced/repair to figure out the control issue with AC</t>
  </si>
  <si>
    <t>WO-055</t>
  </si>
  <si>
    <t>Need to replace door battery to prevent lockout.</t>
  </si>
  <si>
    <t xml:space="preserve">Window lock missing, need to install. </t>
  </si>
  <si>
    <t>Monthly Maintenance Tasks</t>
  </si>
  <si>
    <t>Use this sheet to track higher-touch preventive maintenance and inventory routines.</t>
  </si>
  <si>
    <t>M-001</t>
  </si>
  <si>
    <t>Life Safety</t>
  </si>
  <si>
    <t>Inspect fire extinguishers and document seal/pressure status</t>
  </si>
  <si>
    <t>Chief Engineer</t>
  </si>
  <si>
    <t>Monthly</t>
  </si>
  <si>
    <t>1st Business Day</t>
  </si>
  <si>
    <t>Coordinate with vendor if replacement is needed</t>
  </si>
  <si>
    <t>M-002</t>
  </si>
  <si>
    <t>Deep inspection of 10% of rooms with furnishings checklist</t>
  </si>
  <si>
    <t>Maintenance Supervisor</t>
  </si>
  <si>
    <t>2nd Week</t>
  </si>
  <si>
    <t>Use room inspection sheet for findings</t>
  </si>
  <si>
    <t>M-003</t>
  </si>
  <si>
    <t>Inventory</t>
  </si>
  <si>
    <t>Cycle count critical spares and update reorder points</t>
  </si>
  <si>
    <t>Storeroom Clerk</t>
  </si>
  <si>
    <t>Multiple spots in bathroom need to be recaulked.</t>
  </si>
  <si>
    <t>3rd Week</t>
  </si>
  <si>
    <t>Match with purchasing records</t>
  </si>
  <si>
    <t>M-004</t>
  </si>
  <si>
    <t>Mechanical</t>
  </si>
  <si>
    <t>Lubricate motors, bearings, and door hardware</t>
  </si>
  <si>
    <t>Last Week</t>
  </si>
  <si>
    <t>Record used materials</t>
  </si>
  <si>
    <t xml:space="preserve">Towel hanger behind door in bathroom needs adjustment. </t>
  </si>
  <si>
    <t>Need Several cosmetic fixes in the fitness center.</t>
  </si>
  <si>
    <t>Dropdown Lists</t>
  </si>
  <si>
    <t>Hidden lookup values used by the dashboard and operating sheets.</t>
  </si>
  <si>
    <t>System Status</t>
  </si>
  <si>
    <t xml:space="preserve">Window seal needs to be redone it is cracked. </t>
  </si>
  <si>
    <t>Task Status</t>
  </si>
  <si>
    <t>Yes</t>
  </si>
  <si>
    <t>No</t>
  </si>
  <si>
    <t>Fail</t>
  </si>
  <si>
    <t>Deferred</t>
  </si>
  <si>
    <t>WO-010</t>
  </si>
  <si>
    <t xml:space="preserve">Toilet is leaking, repaired </t>
  </si>
  <si>
    <t>WO-016</t>
  </si>
  <si>
    <t>The air conditioner is not draining condensation properly</t>
  </si>
  <si>
    <t>Currently the first layer of mud and tap are applied, waiting on materials to continue</t>
  </si>
  <si>
    <t xml:space="preserve">wallpaper seams is separating </t>
  </si>
  <si>
    <t xml:space="preserve">Bathroom Tiles Lose </t>
  </si>
  <si>
    <t>Marriott Fairfield Room Inspection / PM</t>
  </si>
  <si>
    <t>Printable guest-room inspection sheet tailored to Fairfield standards for guest-ready presentation, PM follow-up, and detailed corrective action tracking.</t>
  </si>
  <si>
    <t xml:space="preserve">TV Remote Will Not Turn TV on or off.   Update: Reprogramed Remote </t>
  </si>
  <si>
    <t>Inspector</t>
  </si>
  <si>
    <t>Property / Wing</t>
  </si>
  <si>
    <t>Room / Floor</t>
  </si>
  <si>
    <t xml:space="preserve">Reprogramed Remote </t>
  </si>
  <si>
    <t>Room Type</t>
  </si>
  <si>
    <t>Work Order</t>
  </si>
  <si>
    <t>Occupancy</t>
  </si>
  <si>
    <t>Status / Target</t>
  </si>
  <si>
    <t>Not getting all channels and some channels are pixely</t>
  </si>
  <si>
    <t>Inspection Item</t>
  </si>
  <si>
    <t>Fairfield Standard</t>
  </si>
  <si>
    <t>Result</t>
  </si>
  <si>
    <t>Notes / Deficiencies</t>
  </si>
  <si>
    <t>Corrective Action</t>
  </si>
  <si>
    <t>General Room Readiness</t>
  </si>
  <si>
    <t>Called TV company and got put on call back and have not heard nothing. 10:00PM Does it have the grey cable?</t>
  </si>
  <si>
    <t>Room presentation</t>
  </si>
  <si>
    <t>Room is clean, odor-free, well-lit, and guest-ready with no visible clutter or trash.</t>
  </si>
  <si>
    <t>Bedding and mattress</t>
  </si>
  <si>
    <t>Linens are fresh, dry, tight, and free of stains or tears; mattress, box spring, and headboard are secure and clean.</t>
  </si>
  <si>
    <t>Casegoods and upholstery</t>
  </si>
  <si>
    <t>Desk, chair, nightstand, sofa, and other furniture are dust-free, stable, and free of chips, burns, stains, or loose hardware.</t>
  </si>
  <si>
    <t>Windows and treatments</t>
  </si>
  <si>
    <t>Windows, sheers, blackout curtains, and blinds open and close smoothly; fabric is clean and undamaged.</t>
  </si>
  <si>
    <t>Closet and storage</t>
  </si>
  <si>
    <t>Closet or wardrobe is clean and organized; hangers, luggage rack, and shelves are present and secure.</t>
  </si>
  <si>
    <t>Brand amenities</t>
  </si>
  <si>
    <t>Coffee maker, cups, ice bucket, hair dryer, safe, iron, and board are present and functional when equipped in the room type.</t>
  </si>
  <si>
    <t>HVAC / Climate Control</t>
  </si>
  <si>
    <t>PTAC or HVAC power</t>
  </si>
  <si>
    <t>Unit powers on and responds correctly to the thermostat or control settings.</t>
  </si>
  <si>
    <t>Heating and cooling</t>
  </si>
  <si>
    <t>Heating and cooling modes produce strong, even airflow and reach set temperature without delay.</t>
  </si>
  <si>
    <t>Filter and grille</t>
  </si>
  <si>
    <t>Return grille, filter, and cabinet are clean, secured, and free of heavy dust build-up.</t>
  </si>
  <si>
    <t>Noise and vibration</t>
  </si>
  <si>
    <t>Unit runs quietly with no rattles, grinding, odor, or abnormal vibration.</t>
  </si>
  <si>
    <t>Condensate and leaks</t>
  </si>
  <si>
    <t>No water intrusion, condensate overflow, or staining is present around the unit.</t>
  </si>
  <si>
    <t>Electrical / Lighting / Technology</t>
  </si>
  <si>
    <t>Room lighting</t>
  </si>
  <si>
    <t>Entry, bedside, desk, vanity, and bath lighting all operate correctly with working switches or dimmers.</t>
  </si>
  <si>
    <t>Outlets and USB ports</t>
  </si>
  <si>
    <t>All outlets, USB ports, and charging stations energize properly and are securely mounted.</t>
  </si>
  <si>
    <t>GFCI protection</t>
  </si>
  <si>
    <t>Bathroom and vanity GFCI outlets trip and reset properly; covers and faceplates are intact.</t>
  </si>
  <si>
    <t>TV and remote</t>
  </si>
  <si>
    <t>Television powers on, channels or streaming input work, and the remote operates correctly.</t>
  </si>
  <si>
    <t>Telephone and connectivity</t>
  </si>
  <si>
    <t>Room phone, data port, or posted Wi-Fi information is present and usable when applicable.</t>
  </si>
  <si>
    <t>Cords and plugs</t>
  </si>
  <si>
    <t>Power cords, plugs, and lamp wiring are undamaged, secured, and not creating a hazard.</t>
  </si>
  <si>
    <t>Plumbing / Bathroom</t>
  </si>
  <si>
    <t>Sink faucet and drain</t>
  </si>
  <si>
    <t>Hot and cold water operate correctly, pressure is acceptable, and the sink drains without leaking or backing up.</t>
  </si>
  <si>
    <t>Toilet operation</t>
  </si>
  <si>
    <t>Toilet flushes, refills, and seats properly with no rocking, staining, or hidden leaks.</t>
  </si>
  <si>
    <t>Tub or shower</t>
  </si>
  <si>
    <t>Tub, shower, head, curtain or door, grout, caulk, and drain are clean, intact, and leak-free.</t>
  </si>
  <si>
    <t>Vanity and mirror</t>
  </si>
  <si>
    <t>Countertop, backsplash, mirror, sink basin, and vanity surfaces are clean and damage-free.</t>
  </si>
  <si>
    <t>Exhaust fan</t>
  </si>
  <si>
    <t>Bathroom fan vents properly and is free of excessive dust, noise, or damage.</t>
  </si>
  <si>
    <t>Water temperature</t>
  </si>
  <si>
    <t>Water temperature is consistent and acceptable at the sink and shower.</t>
  </si>
  <si>
    <t>Plumbing leaks</t>
  </si>
  <si>
    <t>No visible leaks are present under the sink, around the toilet, or at wall penetrations.</t>
  </si>
  <si>
    <r>
      <rPr>
        <rFont val="Calibri"/>
        <color theme="1"/>
        <sz val="11.0"/>
      </rPr>
      <t>30075 Research Dr., New Hudson, MI 48165</t>
    </r>
  </si>
  <si>
    <t>Walls / Ceiling / Trim</t>
  </si>
  <si>
    <t>Walls and paint</t>
  </si>
  <si>
    <r>
      <rPr>
        <rFont val="Calibri"/>
        <color theme="1"/>
        <sz val="11.0"/>
      </rPr>
      <t>Site Information</t>
    </r>
  </si>
  <si>
    <t>Walls, wallpaper, and paint are free of holes, stains, peeling, scuffs, and visible patching issues.</t>
  </si>
  <si>
    <r>
      <rPr>
        <rFont val="Calibri"/>
        <color theme="1"/>
        <sz val="11.0"/>
      </rPr>
      <t>Fax:</t>
    </r>
  </si>
  <si>
    <t>Ceiling and vents</t>
  </si>
  <si>
    <t>Ceiling, sprinkler escutcheons, diffusers, and vents are clean with no water marks or cracks.</t>
  </si>
  <si>
    <t>Contact: Pablo Chakone</t>
  </si>
  <si>
    <t>Trim and caulk</t>
  </si>
  <si>
    <r>
      <rPr>
        <rFont val="Calibri"/>
        <color theme="1"/>
        <sz val="11.0"/>
      </rPr>
      <t>Contact:</t>
    </r>
  </si>
  <si>
    <t>Baseboards, corner beads, trim, and caulk lines are intact, sealed, and finished cleanly.</t>
  </si>
  <si>
    <t>Company: Fairfield Inn &amp; Suites</t>
  </si>
  <si>
    <t>Artwork and mirrors</t>
  </si>
  <si>
    <t>Artwork, mirrors, and décor are straight, secure, and free of chips, cracks, or fading.</t>
  </si>
  <si>
    <t>Bathroom wall finish</t>
  </si>
  <si>
    <t>Tile, grout, and wall finish in the bathroom are clean, sealed, and free of mold, mildew, or damage.</t>
  </si>
  <si>
    <t>Address: 203 Outlet Dr., Hillsboro, TX 76645</t>
  </si>
  <si>
    <t>Floors / Baseboards / Thresholds</t>
  </si>
  <si>
    <t>Floor surface</t>
  </si>
  <si>
    <t>Phone: (254) 582-8804</t>
  </si>
  <si>
    <t>Carpet, tile, LVT/VCT, or other floor finish is clean, dry, and in good condition.</t>
  </si>
  <si>
    <t>Floor damage</t>
  </si>
  <si>
    <t>No burns, stains, cracks, lifted edges, loose tiles, or damaged seams are present.</t>
  </si>
  <si>
    <t>Email: fairfield.maint.203@gmail.com</t>
  </si>
  <si>
    <t>Transitions and thresholds</t>
  </si>
  <si>
    <t>Door thresholds, transitions, rugs, and mats are secure and do not create a trip hazard.</t>
  </si>
  <si>
    <r>
      <rPr>
        <rFont val="Calibri"/>
        <b/>
        <color theme="1"/>
        <sz val="12.0"/>
      </rPr>
      <t>Flushmate Serial Number Log</t>
    </r>
  </si>
  <si>
    <t>Baseboards and corners</t>
  </si>
  <si>
    <t>Baseboards and corners are secure, clean, and free of gouges or separation.</t>
  </si>
  <si>
    <t>Under furniture</t>
  </si>
  <si>
    <r>
      <rPr>
        <rFont val="Calibri"/>
        <color theme="1"/>
        <sz val="11.0"/>
      </rPr>
      <t>Model #</t>
    </r>
  </si>
  <si>
    <t>Area under the bed, behind the door, and behind furniture is clean and free of debris.</t>
  </si>
  <si>
    <r>
      <rPr>
        <rFont val="Calibri"/>
        <color theme="1"/>
        <sz val="11.0"/>
      </rPr>
      <t>Serial #</t>
    </r>
  </si>
  <si>
    <t>Doors / Locks / Security</t>
  </si>
  <si>
    <r>
      <rPr>
        <rFont val="Calibri"/>
        <color theme="1"/>
        <sz val="11.0"/>
      </rPr>
      <t>Install Date</t>
    </r>
  </si>
  <si>
    <t>Entry door operation</t>
  </si>
  <si>
    <r>
      <rPr>
        <rFont val="Calibri"/>
        <color theme="1"/>
        <sz val="11.0"/>
      </rPr>
      <t>Model #</t>
    </r>
  </si>
  <si>
    <t>Entry door closes, latches, and self-closes properly without binding or slamming.</t>
  </si>
  <si>
    <r>
      <rPr>
        <rFont val="Calibri"/>
        <color theme="1"/>
        <sz val="11.0"/>
      </rPr>
      <t>Serial #</t>
    </r>
  </si>
  <si>
    <r>
      <rPr>
        <rFont val="Calibri"/>
        <color theme="1"/>
        <sz val="11.0"/>
      </rPr>
      <t>Install Date</t>
    </r>
  </si>
  <si>
    <t>Deadbolt and swing bar</t>
  </si>
  <si>
    <t>Deadbolt, security latch, and related hardware function smoothly and securely.</t>
  </si>
  <si>
    <t>Peephole and viewer</t>
  </si>
  <si>
    <r>
      <rPr>
        <rFont val="Calibri"/>
        <color theme="1"/>
        <sz val="11.0"/>
      </rPr>
      <t>-</t>
    </r>
  </si>
  <si>
    <t>Peephole or viewer is clear, secure, and properly aligned.</t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</si>
  <si>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</si>
  <si>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</si>
  <si>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t>Door seals and sweep</t>
  </si>
  <si>
    <t>Door seals, sweep, hinges, frame, and closer are intact with no obvious light or sound gaps.</t>
  </si>
  <si>
    <r>
      <rPr>
        <rFont val="Calibri"/>
        <color theme="1"/>
        <sz val="11.0"/>
      </rPr>
      <t>-</t>
    </r>
  </si>
  <si>
    <t>Bathroom and closet doors</t>
  </si>
  <si>
    <t>Bathroom, closet, and connecting doors open, close, and latch properly.</t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</si>
  <si>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</si>
  <si>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</si>
  <si>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t>Window and patio security</t>
  </si>
  <si>
    <t>Window locks, secondary latches, and balcony or patio doors operate correctly when present.</t>
  </si>
  <si>
    <t>Safety / Life Safety / Guest Security</t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</si>
  <si>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</si>
  <si>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</si>
  <si>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</si>
  <si>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t>Smoke detector</t>
  </si>
  <si>
    <t>Smoke detector is present, unobstructed, and appears powered and functional.</t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</si>
  <si>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</si>
  <si>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</si>
  <si>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</si>
  <si>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t>Sprinkler head</t>
  </si>
  <si>
    <r>
      <rPr>
        <rFont val="Calibri"/>
        <color theme="1"/>
        <sz val="11.0"/>
      </rPr>
      <t>-</t>
    </r>
  </si>
  <si>
    <t>Sprinkler head and escutcheon are unobstructed and free of damage or paint.</t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</si>
  <si>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</si>
  <si>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</si>
  <si>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t>Emergency information</t>
  </si>
  <si>
    <t>Emergency evacuation instructions, room phone info, and safety signage are present and legible.</t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</si>
  <si>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</si>
  <si>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</si>
  <si>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</si>
  <si>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t>Immediate hazards</t>
  </si>
  <si>
    <r>
      <rPr>
        <rFont val="Calibri"/>
        <color theme="1"/>
        <sz val="11.0"/>
      </rPr>
      <t>-</t>
    </r>
  </si>
  <si>
    <t>No exposed wiring, broken glass, damaged outlets, or other immediate safety hazards are present.</t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</si>
  <si>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</si>
  <si>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</si>
  <si>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t>Egress path</t>
  </si>
  <si>
    <t>Primary exit path from the room is clear and unobstructed.</t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</si>
  <si>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</si>
  <si>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</si>
  <si>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</si>
  <si>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</si>
  <si>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</si>
  <si>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t>Final PM / Closeout</t>
  </si>
  <si>
    <r>
      <rPr>
        <rFont val="Calibri"/>
        <color theme="1"/>
        <sz val="11.0"/>
      </rPr>
      <t>/        /</t>
    </r>
  </si>
  <si>
    <t>Deficiency log</t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</si>
  <si>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</si>
  <si>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</si>
  <si>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t>All deficiencies are documented with the proper work order number or follow-up note.</t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</si>
  <si>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</si>
  <si>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</si>
  <si>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t>Parts and materials</t>
  </si>
  <si>
    <r>
      <rPr>
        <rFont val="Calibri"/>
        <color theme="1"/>
        <sz val="11.0"/>
      </rPr>
      <t>-</t>
    </r>
  </si>
  <si>
    <t>Parts, materials, or vendor support required for repair are identified and ordered if needed.</t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</si>
  <si>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</si>
  <si>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</si>
  <si>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t>Room status</t>
  </si>
  <si>
    <r>
      <rPr>
        <rFont val="Calibri"/>
        <color theme="1"/>
        <sz val="11.0"/>
      </rPr>
      <t>-</t>
    </r>
  </si>
  <si>
    <t>Room status is clearly marked as Ready, Follow-Up, or Out of Order.</t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</si>
  <si>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</si>
  <si>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</si>
  <si>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</si>
  <si>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t>Inspector sign-off</t>
  </si>
  <si>
    <r>
      <rPr>
        <rFont val="Calibri"/>
        <color theme="1"/>
        <sz val="11.0"/>
      </rPr>
      <t>/        /</t>
    </r>
  </si>
  <si>
    <t>Inspector name, date, and supervisor review are completed before the room is returned to service.</t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</si>
  <si>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</si>
  <si>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</si>
  <si>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</si>
  <si>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</si>
  <si>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</si>
  <si>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</si>
  <si>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</si>
  <si>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</si>
  <si>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</si>
  <si>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</si>
  <si>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</si>
  <si>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</si>
  <si>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</si>
  <si>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</si>
  <si>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</si>
  <si>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</si>
  <si>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</si>
  <si>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</si>
  <si>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</si>
  <si>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</si>
  <si>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</si>
  <si>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</si>
  <si>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</si>
  <si>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</si>
  <si>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</si>
  <si>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</si>
  <si>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</si>
  <si>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</si>
  <si>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</si>
  <si>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</si>
  <si>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</si>
  <si>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</si>
  <si>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</si>
  <si>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</si>
  <si>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</si>
  <si>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</si>
  <si>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</si>
  <si>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</si>
  <si>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</si>
  <si>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</si>
  <si>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</si>
  <si>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</si>
  <si>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</si>
  <si>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</si>
  <si>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</si>
  <si>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</si>
  <si>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</si>
  <si>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</si>
  <si>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</si>
  <si>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</si>
  <si>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</si>
  <si>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</si>
  <si>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</si>
  <si>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</si>
  <si>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</si>
  <si>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</si>
  <si>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</si>
  <si>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</si>
  <si>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</si>
  <si>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</si>
  <si>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</si>
  <si>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</si>
  <si>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</si>
  <si>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</si>
  <si>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</si>
  <si>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</si>
  <si>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</si>
  <si>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</si>
  <si>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</si>
  <si>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</si>
  <si>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</si>
  <si>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</si>
  <si>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</si>
  <si>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</si>
  <si>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</si>
  <si>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</si>
  <si>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</si>
  <si>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</si>
  <si>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</si>
  <si>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</si>
  <si>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</si>
  <si>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</si>
  <si>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</si>
  <si>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</si>
  <si>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</si>
  <si>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</si>
  <si>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</si>
  <si>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</si>
  <si>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</si>
  <si>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</si>
  <si>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</si>
  <si>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</si>
  <si>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</si>
  <si>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</si>
  <si>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</si>
  <si>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</si>
  <si>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</si>
  <si>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</si>
  <si>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</si>
  <si>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</si>
  <si>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</si>
  <si>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</si>
  <si>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</si>
  <si>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</si>
  <si>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</si>
  <si>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</si>
  <si>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</si>
  <si>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</si>
  <si>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</si>
  <si>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</si>
  <si>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</si>
  <si>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</si>
  <si>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</si>
  <si>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</si>
  <si>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</si>
  <si>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</si>
  <si>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</si>
  <si>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</si>
  <si>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</si>
  <si>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</si>
  <si>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</si>
  <si>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</si>
  <si>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</si>
  <si>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</si>
  <si>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</si>
  <si>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</si>
  <si>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</si>
  <si>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</si>
  <si>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</si>
  <si>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</si>
  <si>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</si>
  <si>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</si>
  <si>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</si>
  <si>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</si>
  <si>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</si>
  <si>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</si>
  <si>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</si>
  <si>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</si>
  <si>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</si>
  <si>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</si>
  <si>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</si>
  <si>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</si>
  <si>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</si>
  <si>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</si>
  <si>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</si>
  <si>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</si>
  <si>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</si>
  <si>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</si>
  <si>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</si>
  <si>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</si>
  <si>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</si>
  <si>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</si>
  <si>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</si>
  <si>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</si>
  <si>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</si>
  <si>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</si>
  <si>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</si>
  <si>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</si>
  <si>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/        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</si>
</sst>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"/>
    <numFmt numFmtId="165" formatCode="yyyy-mm-dd"/>
    <numFmt numFmtId="166" formatCode="$#,##0.00"/>
    <numFmt numFmtId="167" formatCode="m/d/yyyy h:mm:ss"/>
    <numFmt numFmtId="168" formatCode="m/d/yyyy h:mm"/>
    <numFmt numFmtId="169" formatCode="m/d/yy h:mm"/>
    <numFmt numFmtId="170" formatCode="m/d/yy"/>
  </numFmts>
  <fonts count="17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color rgb="FFFFFFFF"/>
      <name val="Arial"/>
    </font>
    <font>
      <color theme="1"/>
      <name val="Arial"/>
      <scheme val="minor"/>
    </font>
    <font>
      <b/>
      <sz val="18.0"/>
      <color rgb="FFFFFFFF"/>
      <name val="Arial"/>
    </font>
    <font>
      <sz val="10.0"/>
      <color rgb="FFBDD7EE"/>
      <name val="Arial"/>
    </font>
    <font>
      <b/>
      <sz val="11.0"/>
      <color rgb="FFFFFFFF"/>
      <name val="Arial"/>
    </font>
    <font>
      <b/>
      <sz val="22.0"/>
      <color rgb="FF1F4E78"/>
      <name val="Arial"/>
    </font>
    <font/>
    <font>
      <b/>
      <sz val="10.0"/>
      <color theme="1"/>
      <name val="Arial"/>
    </font>
    <font>
      <b/>
      <sz val="18.0"/>
      <color theme="1"/>
      <name val="Arial"/>
    </font>
    <font>
      <b/>
      <sz val="12.0"/>
      <color rgb="FFFFFFFF"/>
      <name val="Arial"/>
    </font>
    <font>
      <sz val="10.0"/>
      <color rgb="FF000000"/>
      <name val="Times New Roman"/>
    </font>
    <font>
      <sz val="11.0"/>
      <color theme="1"/>
      <name val="Calibri"/>
    </font>
    <font>
      <b/>
      <sz val="12.0"/>
      <color theme="1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EBF3FB"/>
        <bgColor rgb="FFEBF3FB"/>
      </patternFill>
    </fill>
  </fills>
  <borders count="27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1F4E78"/>
      </left>
      <top style="medium">
        <color rgb="FF1F4E78"/>
      </top>
    </border>
    <border>
      <right style="medium">
        <color rgb="FF1F4E78"/>
      </right>
      <top style="medium">
        <color rgb="FF1F4E78"/>
      </top>
    </border>
    <border>
      <left style="medium">
        <color rgb="FF1F4E78"/>
      </left>
    </border>
    <border>
      <right style="medium">
        <color rgb="FF1F4E78"/>
      </right>
    </border>
    <border>
      <left style="medium">
        <color rgb="FF1F4E78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1F4E78"/>
      </right>
      <top style="thin">
        <color rgb="FFD9D9D9"/>
      </top>
      <bottom style="thin">
        <color rgb="FFD9D9D9"/>
      </bottom>
    </border>
    <border>
      <left style="medium">
        <color rgb="FF1F4E78"/>
      </left>
      <bottom style="medium">
        <color rgb="FF1F4E78"/>
      </bottom>
    </border>
    <border>
      <right style="medium">
        <color rgb="FF1F4E78"/>
      </right>
      <bottom style="medium">
        <color rgb="FF1F4E78"/>
      </bottom>
    </border>
    <border>
      <left style="medium">
        <color rgb="FF1F4E78"/>
      </left>
      <right style="thin">
        <color rgb="FFD9D9D9"/>
      </right>
      <top style="thin">
        <color rgb="FFD9D9D9"/>
      </top>
      <bottom style="medium">
        <color rgb="FF1F4E78"/>
      </bottom>
    </border>
    <border>
      <left style="thin">
        <color rgb="FFD9D9D9"/>
      </left>
      <right style="medium">
        <color rgb="FF1F4E78"/>
      </right>
      <top style="thin">
        <color rgb="FFD9D9D9"/>
      </top>
      <bottom style="medium">
        <color rgb="FF1F4E78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center" vertical="center"/>
    </xf>
    <xf borderId="0" fillId="2" fontId="3" numFmtId="164" xfId="0" applyAlignment="1" applyFont="1" applyNumberFormat="1">
      <alignment horizontal="center" vertical="center"/>
    </xf>
    <xf borderId="1" fillId="3" fontId="2" numFmtId="165" xfId="0" applyAlignment="1" applyBorder="1" applyFill="1" applyFont="1" applyNumberFormat="1">
      <alignment readingOrder="0" shrinkToFit="0" vertical="top" wrapText="1"/>
    </xf>
    <xf borderId="1" fillId="3" fontId="2" numFmtId="0" xfId="0" applyAlignment="1" applyBorder="1" applyFont="1">
      <alignment horizontal="center"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shrinkToFit="0" vertical="top" wrapText="1"/>
    </xf>
    <xf borderId="1" fillId="3" fontId="2" numFmtId="166" xfId="0" applyAlignment="1" applyBorder="1" applyFont="1" applyNumberForma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2" numFmtId="166" xfId="0" applyAlignment="1" applyBorder="1" applyFont="1" applyNumberFormat="1">
      <alignment shrinkToFit="0" vertical="top" wrapText="1"/>
    </xf>
    <xf borderId="1" fillId="3" fontId="2" numFmtId="167" xfId="0" applyAlignment="1" applyBorder="1" applyFont="1" applyNumberFormat="1">
      <alignment readingOrder="0" shrinkToFit="0" vertical="top" wrapText="1"/>
    </xf>
    <xf borderId="1" fillId="3" fontId="2" numFmtId="165" xfId="0" applyAlignment="1" applyBorder="1" applyFont="1" applyNumberFormat="1">
      <alignment shrinkToFit="0" vertical="top" wrapText="1"/>
    </xf>
    <xf borderId="1" fillId="4" fontId="2" numFmtId="0" xfId="0" applyAlignment="1" applyBorder="1" applyFont="1">
      <alignment horizontal="center" readingOrder="0" shrinkToFit="0" vertical="top" wrapText="1"/>
    </xf>
    <xf borderId="1" fillId="3" fontId="2" numFmtId="1" xfId="0" applyAlignment="1" applyBorder="1" applyFont="1" applyNumberFormat="1">
      <alignment shrinkToFit="0" vertical="top" wrapText="1"/>
    </xf>
    <xf borderId="1" fillId="4" fontId="2" numFmtId="0" xfId="0" applyAlignment="1" applyBorder="1" applyFont="1">
      <alignment readingOrder="0" shrinkToFit="0" vertical="top" wrapText="1"/>
    </xf>
    <xf borderId="1" fillId="4" fontId="2" numFmtId="167" xfId="0" applyAlignment="1" applyBorder="1" applyFont="1" applyNumberFormat="1">
      <alignment readingOrder="0" shrinkToFit="0" vertical="top" wrapText="1"/>
    </xf>
    <xf borderId="0" fillId="0" fontId="2" numFmtId="165" xfId="0" applyFont="1" applyNumberFormat="1"/>
    <xf borderId="1" fillId="4" fontId="2" numFmtId="165" xfId="0" applyAlignment="1" applyBorder="1" applyFont="1" applyNumberFormat="1">
      <alignment readingOrder="0" shrinkToFit="0" vertical="top" wrapText="1"/>
    </xf>
    <xf borderId="1" fillId="4" fontId="2" numFmtId="165" xfId="0" applyAlignment="1" applyBorder="1" applyFont="1" applyNumberFormat="1">
      <alignment shrinkToFit="0" vertical="top" wrapText="1"/>
    </xf>
    <xf borderId="1" fillId="4" fontId="2" numFmtId="164" xfId="0" applyAlignment="1" applyBorder="1" applyFont="1" applyNumberFormat="1">
      <alignment readingOrder="0" shrinkToFit="0" vertical="top" wrapText="1"/>
    </xf>
    <xf borderId="1" fillId="4" fontId="2" numFmtId="1" xfId="0" applyAlignment="1" applyBorder="1" applyFont="1" applyNumberFormat="1">
      <alignment shrinkToFit="0" vertical="top" wrapText="1"/>
    </xf>
    <xf borderId="0" fillId="0" fontId="2" numFmtId="166" xfId="0" applyFont="1" applyNumberFormat="1"/>
    <xf borderId="1" fillId="4" fontId="2" numFmtId="168" xfId="0" applyAlignment="1" applyBorder="1" applyFont="1" applyNumberFormat="1">
      <alignment readingOrder="0" shrinkToFit="0" vertical="top" wrapText="1"/>
    </xf>
    <xf borderId="1" fillId="4" fontId="2" numFmtId="14" xfId="0" applyAlignment="1" applyBorder="1" applyFont="1" applyNumberFormat="1">
      <alignment readingOrder="0" shrinkToFit="0" vertical="top" wrapText="1"/>
    </xf>
    <xf borderId="0" fillId="0" fontId="4" numFmtId="0" xfId="0" applyAlignment="1" applyFont="1">
      <alignment readingOrder="0" shrinkToFit="0" wrapText="1"/>
    </xf>
    <xf borderId="1" fillId="3" fontId="2" numFmtId="0" xfId="0" applyAlignment="1" applyBorder="1" applyFont="1">
      <alignment horizontal="center" shrinkToFit="0" vertical="top" wrapText="1"/>
    </xf>
    <xf borderId="1" fillId="4" fontId="2" numFmtId="0" xfId="0" applyAlignment="1" applyBorder="1" applyFont="1">
      <alignment horizontal="center" shrinkToFit="0" vertical="top" wrapText="1"/>
    </xf>
    <xf borderId="0" fillId="5" fontId="5" numFmtId="0" xfId="0" applyAlignment="1" applyFill="1" applyFont="1">
      <alignment horizontal="center" vertical="center"/>
    </xf>
    <xf borderId="0" fillId="6" fontId="6" numFmtId="0" xfId="0" applyAlignment="1" applyFill="1" applyFont="1">
      <alignment horizontal="center" vertical="center"/>
    </xf>
    <xf borderId="0" fillId="7" fontId="2" numFmtId="0" xfId="0" applyFill="1" applyFont="1"/>
    <xf borderId="2" fillId="5" fontId="7" numFmtId="0" xfId="0" applyAlignment="1" applyBorder="1" applyFont="1">
      <alignment horizontal="left" vertical="center"/>
    </xf>
    <xf borderId="3" fillId="8" fontId="8" numFmtId="0" xfId="0" applyAlignment="1" applyBorder="1" applyFill="1" applyFont="1">
      <alignment horizontal="center" vertical="center"/>
    </xf>
    <xf borderId="2" fillId="5" fontId="7" numFmtId="0" xfId="0" applyAlignment="1" applyBorder="1" applyFont="1">
      <alignment horizontal="center" vertical="center"/>
    </xf>
    <xf borderId="3" fillId="0" fontId="9" numFmtId="0" xfId="0" applyBorder="1" applyFont="1"/>
    <xf borderId="4" fillId="5" fontId="7" numFmtId="0" xfId="0" applyAlignment="1" applyBorder="1" applyFont="1">
      <alignment horizontal="left" vertical="center"/>
    </xf>
    <xf borderId="5" fillId="8" fontId="8" numFmtId="0" xfId="0" applyAlignment="1" applyBorder="1" applyFont="1">
      <alignment horizontal="center" vertical="center"/>
    </xf>
    <xf borderId="6" fillId="0" fontId="10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7" fillId="0" fontId="11" numFmtId="1" xfId="0" applyAlignment="1" applyBorder="1" applyFont="1" applyNumberFormat="1">
      <alignment horizontal="center" shrinkToFit="0" vertical="center" wrapText="1"/>
    </xf>
    <xf borderId="8" fillId="5" fontId="7" numFmtId="0" xfId="0" applyAlignment="1" applyBorder="1" applyFont="1">
      <alignment horizontal="left" vertical="center"/>
    </xf>
    <xf borderId="9" fillId="8" fontId="8" numFmtId="0" xfId="0" applyAlignment="1" applyBorder="1" applyFont="1">
      <alignment horizontal="center" vertical="center"/>
    </xf>
    <xf borderId="10" fillId="0" fontId="10" numFmtId="0" xfId="0" applyAlignment="1" applyBorder="1" applyFont="1">
      <alignment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0" fillId="5" fontId="12" numFmtId="0" xfId="0" applyAlignment="1" applyFont="1">
      <alignment horizontal="center" vertical="center"/>
    </xf>
    <xf borderId="0" fillId="5" fontId="3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top" wrapText="1"/>
    </xf>
    <xf borderId="0" fillId="0" fontId="2" numFmtId="9" xfId="0" applyFont="1" applyNumberFormat="1"/>
    <xf borderId="1" fillId="0" fontId="2" numFmtId="0" xfId="0" applyAlignment="1" applyBorder="1" applyFont="1">
      <alignment shrinkToFit="0" vertical="top" wrapText="1"/>
    </xf>
    <xf borderId="1" fillId="0" fontId="2" numFmtId="165" xfId="0" applyAlignment="1" applyBorder="1" applyFont="1" applyNumberFormat="1">
      <alignment shrinkToFit="0" vertical="top" wrapText="1"/>
    </xf>
    <xf borderId="1" fillId="0" fontId="2" numFmtId="1" xfId="0" applyAlignment="1" applyBorder="1" applyFont="1" applyNumberFormat="1">
      <alignment shrinkToFit="0" vertical="top" wrapText="1"/>
    </xf>
    <xf borderId="0" fillId="0" fontId="4" numFmtId="0" xfId="0" applyFont="1"/>
    <xf borderId="1" fillId="3" fontId="2" numFmtId="164" xfId="0" applyAlignment="1" applyBorder="1" applyFont="1" applyNumberFormat="1">
      <alignment shrinkToFit="0" vertical="top" wrapText="1"/>
    </xf>
    <xf borderId="1" fillId="3" fontId="2" numFmtId="164" xfId="0" applyAlignment="1" applyBorder="1" applyFont="1" applyNumberFormat="1">
      <alignment readingOrder="0" shrinkToFit="0" vertical="top" wrapText="1"/>
    </xf>
    <xf borderId="1" fillId="3" fontId="2" numFmtId="168" xfId="0" applyAlignment="1" applyBorder="1" applyFont="1" applyNumberFormat="1">
      <alignment readingOrder="0" shrinkToFit="0" vertical="top" wrapText="1"/>
    </xf>
    <xf borderId="0" fillId="0" fontId="4" numFmtId="0" xfId="0" applyAlignment="1" applyFont="1">
      <alignment readingOrder="0"/>
    </xf>
    <xf borderId="1" fillId="4" fontId="2" numFmtId="169" xfId="0" applyAlignment="1" applyBorder="1" applyFont="1" applyNumberFormat="1">
      <alignment readingOrder="0" shrinkToFit="0" vertical="top" wrapText="1"/>
    </xf>
    <xf borderId="1" fillId="5" fontId="3" numFmtId="0" xfId="0" applyAlignment="1" applyBorder="1" applyFont="1">
      <alignment horizontal="center" vertical="center"/>
    </xf>
    <xf borderId="12" fillId="0" fontId="2" numFmtId="0" xfId="0" applyAlignment="1" applyBorder="1" applyFont="1">
      <alignment shrinkToFit="0" vertical="top" wrapText="1"/>
    </xf>
    <xf borderId="13" fillId="0" fontId="9" numFmtId="0" xfId="0" applyBorder="1" applyFont="1"/>
    <xf borderId="1" fillId="3" fontId="2" numFmtId="170" xfId="0" applyAlignment="1" applyBorder="1" applyFont="1" applyNumberFormat="1">
      <alignment readingOrder="0" shrinkToFit="0" vertical="top" wrapText="1"/>
    </xf>
    <xf borderId="1" fillId="4" fontId="2" numFmtId="167" xfId="0" applyAlignment="1" applyBorder="1" applyFont="1" applyNumberFormat="1">
      <alignment readingOrder="0" shrinkToFit="0" vertical="top" wrapText="1"/>
    </xf>
    <xf borderId="12" fillId="5" fontId="3" numFmtId="0" xfId="0" applyAlignment="1" applyBorder="1" applyFont="1">
      <alignment shrinkToFit="0" vertical="top" wrapText="1"/>
    </xf>
    <xf borderId="14" fillId="0" fontId="9" numFmtId="0" xfId="0" applyBorder="1" applyFont="1"/>
    <xf borderId="1" fillId="4" fontId="2" numFmtId="164" xfId="0" applyAlignment="1" applyBorder="1" applyFont="1" applyNumberFormat="1">
      <alignment shrinkToFit="0" vertical="top" wrapText="1"/>
    </xf>
    <xf borderId="15" fillId="0" fontId="13" numFmtId="0" xfId="0" applyAlignment="1" applyBorder="1" applyFont="1">
      <alignment horizontal="left" shrinkToFit="0" vertical="center" wrapText="1"/>
    </xf>
    <xf borderId="16" fillId="0" fontId="9" numFmtId="0" xfId="0" applyBorder="1" applyFont="1"/>
    <xf borderId="17" fillId="0" fontId="9" numFmtId="0" xfId="0" applyBorder="1" applyFont="1"/>
    <xf borderId="15" fillId="0" fontId="14" numFmtId="0" xfId="0" applyAlignment="1" applyBorder="1" applyFont="1">
      <alignment horizontal="left" shrinkToFit="0" vertical="top" wrapText="1"/>
    </xf>
    <xf borderId="15" fillId="0" fontId="14" numFmtId="0" xfId="0" applyAlignment="1" applyBorder="1" applyFont="1">
      <alignment horizontal="left" readingOrder="0" shrinkToFit="0" vertical="top" wrapText="1"/>
    </xf>
    <xf borderId="18" fillId="0" fontId="13" numFmtId="0" xfId="0" applyAlignment="1" applyBorder="1" applyFont="1">
      <alignment horizontal="left" shrinkToFit="0" vertical="top" wrapText="1"/>
    </xf>
    <xf borderId="19" fillId="0" fontId="9" numFmtId="0" xfId="0" applyBorder="1" applyFont="1"/>
    <xf borderId="20" fillId="0" fontId="9" numFmtId="0" xfId="0" applyBorder="1" applyFont="1"/>
    <xf borderId="21" fillId="0" fontId="9" numFmtId="0" xfId="0" applyBorder="1" applyFont="1"/>
    <xf borderId="22" fillId="0" fontId="9" numFmtId="0" xfId="0" applyBorder="1" applyFont="1"/>
    <xf borderId="23" fillId="0" fontId="9" numFmtId="0" xfId="0" applyBorder="1" applyFont="1"/>
    <xf borderId="24" fillId="0" fontId="9" numFmtId="0" xfId="0" applyBorder="1" applyFont="1"/>
    <xf borderId="25" fillId="0" fontId="9" numFmtId="0" xfId="0" applyBorder="1" applyFont="1"/>
    <xf borderId="15" fillId="0" fontId="15" numFmtId="0" xfId="0" applyAlignment="1" applyBorder="1" applyFont="1">
      <alignment horizontal="left" shrinkToFit="0" vertical="top" wrapText="1"/>
    </xf>
    <xf borderId="26" fillId="0" fontId="13" numFmtId="0" xfId="0" applyAlignment="1" applyBorder="1" applyFont="1">
      <alignment horizontal="left" shrinkToFit="0" vertical="bottom" wrapText="1"/>
    </xf>
    <xf borderId="26" fillId="0" fontId="14" numFmtId="0" xfId="0" applyAlignment="1" applyBorder="1" applyFont="1">
      <alignment horizontal="left" shrinkToFit="0" vertical="top" wrapText="1"/>
    </xf>
    <xf borderId="26" fillId="0" fontId="16" numFmtId="1" xfId="0" applyAlignment="1" applyBorder="1" applyFont="1" applyNumberFormat="1">
      <alignment horizontal="left" readingOrder="0" shrinkToFit="1" vertical="top" wrapText="0"/>
    </xf>
    <xf borderId="26" fillId="0" fontId="13" numFmtId="0" xfId="0" applyAlignment="1" applyBorder="1" applyFont="1">
      <alignment horizontal="left" shrinkToFit="0" vertical="center" wrapText="1"/>
    </xf>
    <xf borderId="15" fillId="0" fontId="14" numFmtId="0" xfId="0" applyAlignment="1" applyBorder="1" applyFont="1">
      <alignment horizontal="right" shrinkToFit="0" vertical="top" wrapText="1"/>
    </xf>
    <xf borderId="17" fillId="0" fontId="14" numFmtId="0" xfId="0" applyAlignment="1" applyBorder="1" applyFont="1">
      <alignment horizontal="left" shrinkToFit="0" vertical="top" wrapText="1"/>
    </xf>
    <xf borderId="26" fillId="0" fontId="16" numFmtId="1" xfId="0" applyAlignment="1" applyBorder="1" applyFont="1" applyNumberFormat="1">
      <alignment horizontal="left" shrinkToFit="1" vertical="top" wrapText="0"/>
    </xf>
    <xf borderId="0" fillId="0" fontId="4" numFmtId="164" xfId="0" applyFont="1" applyNumberFormat="1"/>
  </cellXfs>
  <cellStyles count="1">
    <cellStyle xfId="0" name="Normal" builtinId="0"/>
  </cellStyles>
  <dxfs count="6"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9EAF7"/>
          <bgColor rgb="FFD9EAF7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Work Orders-Last 30 Days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Dashboard!$B$19:$B$20</c:f>
            </c:strRef>
          </c:tx>
          <c:spPr>
            <a:solidFill>
              <a:srgbClr val="FF0000"/>
            </a:solidFill>
            <a:ln cmpd="sng">
              <a:noFill/>
            </a:ln>
          </c:spPr>
          <c:cat>
            <c:strRef>
              <c:f>Dashboard!$A$21:$A$30</c:f>
            </c:strRef>
          </c:cat>
          <c:val>
            <c:numRef>
              <c:f>Dashboard!$B$21:$B$30</c:f>
              <c:numCache/>
            </c:numRef>
          </c:val>
        </c:ser>
        <c:overlap val="100"/>
        <c:axId val="808884174"/>
        <c:axId val="1827644150"/>
      </c:barChart>
      <c:catAx>
        <c:axId val="808884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644150"/>
      </c:catAx>
      <c:valAx>
        <c:axId val="1827644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8884174"/>
      </c:valAx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123825</xdr:rowOff>
    </xdr:from>
    <xdr:ext cx="6667500" cy="4095750"/>
    <xdr:graphicFrame>
      <xdr:nvGraphicFramePr>
        <xdr:cNvPr id="1" name="Chart 1" title="Work Orders-Last 30 Day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2466975" cy="257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4" width="15.13"/>
    <col customWidth="1" min="5" max="5" width="22.63"/>
    <col customWidth="1" min="6" max="6" width="17.63"/>
    <col customWidth="1" min="7" max="9" width="15.13"/>
    <col customWidth="1" min="10" max="10" width="18.88"/>
    <col customWidth="1" min="11" max="11" width="16.38"/>
    <col customWidth="1" min="12" max="12" width="13.88"/>
    <col customWidth="1" min="13" max="13" width="12.63"/>
    <col customWidth="1" min="14" max="15" width="13.88"/>
  </cols>
  <sheetData>
    <row r="1" ht="33.0" customHeight="1">
      <c r="A1" s="30" t="s">
        <v>85</v>
      </c>
    </row>
    <row r="2" ht="15.0" customHeight="1">
      <c r="A2" s="31" t="s">
        <v>86</v>
      </c>
    </row>
    <row r="3" ht="4.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ht="28.5" customHeight="1">
      <c r="A4" s="33" t="s">
        <v>89</v>
      </c>
      <c r="B4" s="34">
        <f>COUNTIF('Active Work Orders'!G4:G251,"Not Started")+COUNTIF('Active Work Orders'!G4:G251,"Work In Progress")</f>
        <v>33</v>
      </c>
      <c r="D4" s="35" t="s">
        <v>91</v>
      </c>
      <c r="E4" s="36"/>
      <c r="G4" s="35" t="s">
        <v>93</v>
      </c>
      <c r="H4" s="36"/>
    </row>
    <row r="5" ht="28.5" customHeight="1">
      <c r="A5" s="37" t="s">
        <v>94</v>
      </c>
      <c r="B5" s="38">
        <f>IFERROR(__xludf.DUMMYFUNCTION("IFERROR(COUNTUNIQUE(FILTER('Active Work Orders'!B4:B251,'Active Work Orders'!A4:A251&lt;&gt;"""",'Active Work Orders'!B4:B251&lt;&gt;"""",'Active Work Orders'!B4:B251&lt;&gt;""Other"",'Active Work Orders'!G4:G251&lt;&gt;""Completed"")),0)"),20.0)</f>
        <v>20</v>
      </c>
      <c r="D5" s="39" t="s">
        <v>96</v>
      </c>
      <c r="E5" s="40">
        <f>COUNTIF('Active Work Orders'!G4:G251,"Not Started")</f>
        <v>29</v>
      </c>
      <c r="G5" s="39" t="s">
        <v>97</v>
      </c>
      <c r="H5" s="40">
        <f>COUNTIF('Active Work Orders'!E4:E251,"Critical")</f>
        <v>28</v>
      </c>
    </row>
    <row r="6" ht="28.5" customHeight="1">
      <c r="A6" s="37" t="s">
        <v>99</v>
      </c>
      <c r="B6" s="38">
        <f>COUNTIF('Room Inspections'!N4:N250,"Overdue")</f>
        <v>0</v>
      </c>
      <c r="D6" s="39" t="s">
        <v>100</v>
      </c>
      <c r="E6" s="41">
        <f>COUNTIF('Active Work Orders'!G4:G251,"Work In Progress")</f>
        <v>4</v>
      </c>
      <c r="G6" s="39" t="s">
        <v>101</v>
      </c>
      <c r="H6" s="40">
        <f>COUNTIF('Active Work Orders'!E4:E251,"High")</f>
        <v>29</v>
      </c>
    </row>
    <row r="7" ht="28.5" customHeight="1">
      <c r="A7" s="42" t="s">
        <v>104</v>
      </c>
      <c r="B7" s="43">
        <f>COUNTIF('Parts Inventory'!K4:K250,"Reorder")</f>
        <v>0</v>
      </c>
      <c r="D7" s="44" t="s">
        <v>49</v>
      </c>
      <c r="E7" s="45">
        <f>COUNTIF('Active Work Orders'!G4:G251,"Completed")</f>
        <v>63</v>
      </c>
      <c r="G7" s="39" t="s">
        <v>107</v>
      </c>
      <c r="H7" s="40">
        <f>COUNTIF('Active Work Orders'!E4:E251,"Medium")</f>
        <v>19</v>
      </c>
    </row>
    <row r="8" ht="28.5" customHeight="1">
      <c r="G8" s="44" t="s">
        <v>108</v>
      </c>
      <c r="H8" s="45">
        <f>COUNTIF('Active Work Orders'!E4:E251,"Low")</f>
        <v>21</v>
      </c>
    </row>
    <row r="9" ht="15.75" customHeight="1"/>
    <row r="10" ht="22.5" customHeight="1">
      <c r="A10" s="46" t="s">
        <v>109</v>
      </c>
      <c r="D10" s="2"/>
      <c r="F10" s="2"/>
      <c r="G10" s="2"/>
      <c r="J10" s="46" t="s">
        <v>110</v>
      </c>
    </row>
    <row r="11" ht="18.0" customHeight="1">
      <c r="A11" s="47" t="s">
        <v>111</v>
      </c>
      <c r="B11" s="47" t="s">
        <v>15</v>
      </c>
      <c r="C11" s="47" t="s">
        <v>21</v>
      </c>
      <c r="D11" s="2"/>
      <c r="F11" s="2"/>
      <c r="G11" s="2"/>
      <c r="J11" s="47" t="s">
        <v>113</v>
      </c>
      <c r="K11" s="47" t="s">
        <v>26</v>
      </c>
      <c r="L11" s="47" t="s">
        <v>28</v>
      </c>
      <c r="M11" s="47" t="s">
        <v>29</v>
      </c>
      <c r="N11" s="47" t="s">
        <v>32</v>
      </c>
      <c r="O11" s="47" t="s">
        <v>35</v>
      </c>
    </row>
    <row r="12" ht="19.5" customHeight="1">
      <c r="A12" s="48">
        <f>IFERROR(__xludf.DUMMYFUNCTION("IFERROR(INDEX(SORT(FILTER('Active Work Orders'!B4:G251,('Active Work Orders'!E4:E251=""Critical"")+('Active Work Orders'!E4:E251=""High""),'Active Work Orders'!G4:G251&lt;&gt;""Completed"",'Active Work Orders'!B4:B251&lt;&gt;""""),4,TRUE),1,1),"""")"),201.0)</f>
        <v>201</v>
      </c>
      <c r="B12" s="48" t="str">
        <f>IFERROR(__xludf.DUMMYFUNCTION("IF(A12="""","""",IFERROR(INDEX(SORT(FILTER('Active Work Orders'!B4:G251,('Active Work Orders'!E4:E251=""Critical"")+('Active Work Orders'!E4:E251=""High""),'Active Work Orders'!G4:G251&lt;&gt;""Completed"",'Active Work Orders'!B4:B251&lt;&gt;""""),4,TRUE),1,2),""""))"),"Electrical")</f>
        <v>Electrical</v>
      </c>
      <c r="C12" s="48" t="str">
        <f>IFERROR(__xludf.DUMMYFUNCTION("IF(A12="""","""",IFERROR(INDEX(SORT(FILTER('Active Work Orders'!B4:G251,('Active Work Orders'!E4:E251=""Critical"")+('Active Work Orders'!E4:E251=""High""),'Active Work Orders'!G4:G251&lt;&gt;""Completed"",'Active Work Orders'!B4:B251&lt;&gt;""""),4,TRUE),1,4),""""))"),"Critical")</f>
        <v>Critical</v>
      </c>
      <c r="D12" s="49"/>
      <c r="J12" s="50" t="str">
        <f>IFERROR(__xludf.DUMMYFUNCTION("IFERROR(INDEX(SORT(FILTER('Room Inspections'!B4:N250,'Room Inspections'!K4:K250&lt;&gt;"""",'Room Inspections'!M4:M250&lt;=7),12,TRUE),1,1),"""")"),"")</f>
        <v/>
      </c>
      <c r="K12" s="50" t="str">
        <f>IFERROR(__xludf.DUMMYFUNCTION("IF(J12="""","""",INDEX(SORT(FILTER('Room Inspections'!B4:N250,'Room Inspections'!K4:K250&lt;&gt;"""",'Room Inspections'!M4:M250&lt;=7),12,TRUE),1,9))"),"")</f>
        <v/>
      </c>
      <c r="L12" s="51" t="str">
        <f>IFERROR(__xludf.DUMMYFUNCTION("IF(J12="""","""",INDEX(SORT(FILTER('Room Inspections'!B4:N250,'Room Inspections'!K4:K250&lt;&gt;"""",'Room Inspections'!M4:M250&lt;=7),12,TRUE),1,10))"),"")</f>
        <v/>
      </c>
      <c r="M12" s="51" t="str">
        <f>IFERROR(__xludf.DUMMYFUNCTION("IF(J12="""","""",INDEX(SORT(FILTER('Room Inspections'!B4:N250,'Room Inspections'!K4:K250&lt;&gt;"""",'Room Inspections'!M4:M250&lt;=7),12,TRUE),1,11))"),"")</f>
        <v/>
      </c>
      <c r="N12" s="52" t="str">
        <f>IFERROR(__xludf.DUMMYFUNCTION("IF(J12="""","""",INDEX(SORT(FILTER('Room Inspections'!B4:N250,'Room Inspections'!K4:K250&lt;&gt;"""",'Room Inspections'!M4:M250&lt;=7),12,TRUE),1,12))"),"")</f>
        <v/>
      </c>
      <c r="O12" s="50" t="str">
        <f>IFERROR(__xludf.DUMMYFUNCTION("IF(J12="""","""",INDEX(SORT(FILTER('Room Inspections'!B4:N250,'Room Inspections'!K4:K250&lt;&gt;"""",'Room Inspections'!M4:M250&lt;=7),12,TRUE),1,13))"),"")</f>
        <v/>
      </c>
    </row>
    <row r="13" ht="19.5" customHeight="1">
      <c r="A13" s="48">
        <f>IFERROR(__xludf.DUMMYFUNCTION("IFERROR(INDEX(SORT(FILTER('Active Work Orders'!B4:G251,('Active Work Orders'!E4:E251=""Critical"")+('Active Work Orders'!E4:E251=""High""),'Active Work Orders'!G4:G251&lt;&gt;""Completed"",'Active Work Orders'!B4:B251&lt;&gt;""""),4,TRUE),2,1),"""")"),209.0)</f>
        <v>209</v>
      </c>
      <c r="B13" s="48" t="str">
        <f>IFERROR(__xludf.DUMMYFUNCTION("IF(A13="""","""",IFERROR(INDEX(SORT(FILTER('Active Work Orders'!B4:G251,('Active Work Orders'!E4:E251=""Critical"")+('Active Work Orders'!E4:E251=""High""),'Active Work Orders'!G4:G251&lt;&gt;""Completed"",'Active Work Orders'!B4:B251&lt;&gt;""""),4,TRUE),2,2),""""))"),"Doors")</f>
        <v>Doors</v>
      </c>
      <c r="C13" s="48" t="str">
        <f>IFERROR(__xludf.DUMMYFUNCTION("IF(A13="""","""",IFERROR(INDEX(SORT(FILTER('Active Work Orders'!B4:G251,('Active Work Orders'!E4:E251=""Critical"")+('Active Work Orders'!E4:E251=""High""),'Active Work Orders'!G4:G251&lt;&gt;""Completed"",'Active Work Orders'!B4:B251&lt;&gt;""""),4,TRUE),2,4),""""))"),"Critical")</f>
        <v>Critical</v>
      </c>
      <c r="D13" s="49"/>
      <c r="J13" s="50" t="str">
        <f>IFERROR(__xludf.DUMMYFUNCTION("IFERROR(INDEX(SORT(FILTER('Room Inspections'!B4:N250,'Room Inspections'!K4:K250&lt;&gt;"""",'Room Inspections'!M4:M250&lt;=7),12,TRUE),2,1),"""")"),"")</f>
        <v/>
      </c>
      <c r="K13" s="50" t="str">
        <f>IFERROR(__xludf.DUMMYFUNCTION("IF(J13="""","""",INDEX(SORT(FILTER('Room Inspections'!B4:N250,'Room Inspections'!K4:K250&lt;&gt;"""",'Room Inspections'!M4:M250&lt;=7),12,TRUE),2,9))"),"")</f>
        <v/>
      </c>
      <c r="L13" s="51" t="str">
        <f>IFERROR(__xludf.DUMMYFUNCTION("IF(J13="""","""",INDEX(SORT(FILTER('Room Inspections'!B4:N250,'Room Inspections'!K4:K250&lt;&gt;"""",'Room Inspections'!M4:M250&lt;=7),12,TRUE),2,10))"),"")</f>
        <v/>
      </c>
      <c r="M13" s="51" t="str">
        <f>IFERROR(__xludf.DUMMYFUNCTION("IF(J13="""","""",INDEX(SORT(FILTER('Room Inspections'!B4:N250,'Room Inspections'!K4:K250&lt;&gt;"""",'Room Inspections'!M4:M250&lt;=7),12,TRUE),2,11))"),"")</f>
        <v/>
      </c>
      <c r="N13" s="52" t="str">
        <f>IFERROR(__xludf.DUMMYFUNCTION("IF(J13="""","""",INDEX(SORT(FILTER('Room Inspections'!B4:N250,'Room Inspections'!K4:K250&lt;&gt;"""",'Room Inspections'!M4:M250&lt;=7),12,TRUE),2,12))"),"")</f>
        <v/>
      </c>
      <c r="O13" s="50" t="str">
        <f>IFERROR(__xludf.DUMMYFUNCTION("IF(J13="""","""",INDEX(SORT(FILTER('Room Inspections'!B4:N250,'Room Inspections'!K4:K250&lt;&gt;"""",'Room Inspections'!M4:M250&lt;=7),12,TRUE),2,13))"),"")</f>
        <v/>
      </c>
    </row>
    <row r="14" ht="19.5" customHeight="1">
      <c r="A14" s="48">
        <f>IFERROR(__xludf.DUMMYFUNCTION("IFERROR(INDEX(SORT(FILTER('Active Work Orders'!B4:G251,('Active Work Orders'!E4:E251=""Critical"")+('Active Work Orders'!E4:E251=""High""),'Active Work Orders'!G4:G251&lt;&gt;""Completed"",'Active Work Orders'!B4:B251&lt;&gt;""""),4,TRUE),3,1),"""")"),219.0)</f>
        <v>219</v>
      </c>
      <c r="B14" s="48" t="str">
        <f>IFERROR(__xludf.DUMMYFUNCTION("IF(A14="""","""",IFERROR(INDEX(SORT(FILTER('Active Work Orders'!B4:G251,('Active Work Orders'!E4:E251=""Critical"")+('Active Work Orders'!E4:E251=""High""),'Active Work Orders'!G4:G251&lt;&gt;""Completed"",'Active Work Orders'!B4:B251&lt;&gt;""""),4,TRUE),3,2),""""))"),"Doors")</f>
        <v>Doors</v>
      </c>
      <c r="C14" s="48" t="str">
        <f>IFERROR(__xludf.DUMMYFUNCTION("IF(A14="""","""",IFERROR(INDEX(SORT(FILTER('Active Work Orders'!B4:G251,('Active Work Orders'!E4:E251=""Critical"")+('Active Work Orders'!E4:E251=""High""),'Active Work Orders'!G4:G251&lt;&gt;""Completed"",'Active Work Orders'!B4:B251&lt;&gt;""""),4,TRUE),3,4),""""))"),"Critical")</f>
        <v>Critical</v>
      </c>
      <c r="D14" s="49"/>
      <c r="J14" s="50" t="str">
        <f>IFERROR(__xludf.DUMMYFUNCTION("IFERROR(INDEX(SORT(FILTER('Room Inspections'!B4:N250,'Room Inspections'!K4:K250&lt;&gt;"""",'Room Inspections'!M4:M250&lt;=7),12,TRUE),3,1),"""")"),"")</f>
        <v/>
      </c>
      <c r="K14" s="50" t="str">
        <f>IFERROR(__xludf.DUMMYFUNCTION("IF(J14="""","""",INDEX(SORT(FILTER('Room Inspections'!B4:N250,'Room Inspections'!K4:K250&lt;&gt;"""",'Room Inspections'!M4:M250&lt;=7),12,TRUE),3,9))"),"")</f>
        <v/>
      </c>
      <c r="L14" s="51" t="str">
        <f>IFERROR(__xludf.DUMMYFUNCTION("IF(J14="""","""",INDEX(SORT(FILTER('Room Inspections'!B4:N250,'Room Inspections'!K4:K250&lt;&gt;"""",'Room Inspections'!M4:M250&lt;=7),12,TRUE),3,10))"),"")</f>
        <v/>
      </c>
      <c r="M14" s="51" t="str">
        <f>IFERROR(__xludf.DUMMYFUNCTION("IF(J14="""","""",INDEX(SORT(FILTER('Room Inspections'!B4:N250,'Room Inspections'!K4:K250&lt;&gt;"""",'Room Inspections'!M4:M250&lt;=7),12,TRUE),3,11))"),"")</f>
        <v/>
      </c>
      <c r="N14" s="52" t="str">
        <f>IFERROR(__xludf.DUMMYFUNCTION("IF(J14="""","""",INDEX(SORT(FILTER('Room Inspections'!B4:N250,'Room Inspections'!K4:K250&lt;&gt;"""",'Room Inspections'!M4:M250&lt;=7),12,TRUE),3,12))"),"")</f>
        <v/>
      </c>
      <c r="O14" s="50" t="str">
        <f>IFERROR(__xludf.DUMMYFUNCTION("IF(J14="""","""",INDEX(SORT(FILTER('Room Inspections'!B4:N250,'Room Inspections'!K4:K250&lt;&gt;"""",'Room Inspections'!M4:M250&lt;=7),12,TRUE),3,13))"),"")</f>
        <v/>
      </c>
    </row>
    <row r="15" ht="19.5" customHeight="1">
      <c r="A15" s="48">
        <f>IFERROR(__xludf.DUMMYFUNCTION("IFERROR(INDEX(SORT(FILTER('Active Work Orders'!B4:G251,('Active Work Orders'!E4:E251=""Critical"")+('Active Work Orders'!E4:E251=""High""),'Active Work Orders'!G4:G251&lt;&gt;""Completed"",'Active Work Orders'!B4:B251&lt;&gt;""""),4,TRUE),4,1),"""")"),303.0)</f>
        <v>303</v>
      </c>
      <c r="B15" s="48" t="str">
        <f>IFERROR(__xludf.DUMMYFUNCTION("IF(A15="""","""",IFERROR(INDEX(SORT(FILTER('Active Work Orders'!B4:G251,('Active Work Orders'!E4:E251=""Critical"")+('Active Work Orders'!E4:E251=""High""),'Active Work Orders'!G4:G251&lt;&gt;""Completed"",'Active Work Orders'!B4:B251&lt;&gt;""""),4,TRUE),4,2),""""))"),"Doors")</f>
        <v>Doors</v>
      </c>
      <c r="C15" s="48" t="str">
        <f>IFERROR(__xludf.DUMMYFUNCTION("IF(A15="""","""",IFERROR(INDEX(SORT(FILTER('Active Work Orders'!B4:G251,('Active Work Orders'!E4:E251=""Critical"")+('Active Work Orders'!E4:E251=""High""),'Active Work Orders'!G4:G251&lt;&gt;""Completed"",'Active Work Orders'!B4:B251&lt;&gt;""""),4,TRUE),4,4),""""))"),"Critical")</f>
        <v>Critical</v>
      </c>
      <c r="J15" s="50" t="str">
        <f>IFERROR(__xludf.DUMMYFUNCTION("IFERROR(INDEX(SORT(FILTER('Room Inspections'!B4:N250,'Room Inspections'!K4:K250&lt;&gt;"""",'Room Inspections'!M4:M250&lt;=7),12,TRUE),4,1),"""")"),"")</f>
        <v/>
      </c>
      <c r="K15" s="50" t="str">
        <f>IFERROR(__xludf.DUMMYFUNCTION("IF(J15="""","""",INDEX(SORT(FILTER('Room Inspections'!B4:N250,'Room Inspections'!K4:K250&lt;&gt;"""",'Room Inspections'!M4:M250&lt;=7),12,TRUE),4,9))"),"")</f>
        <v/>
      </c>
      <c r="L15" s="51" t="str">
        <f>IFERROR(__xludf.DUMMYFUNCTION("IF(J15="""","""",INDEX(SORT(FILTER('Room Inspections'!B4:N250,'Room Inspections'!K4:K250&lt;&gt;"""",'Room Inspections'!M4:M250&lt;=7),12,TRUE),4,10))"),"")</f>
        <v/>
      </c>
      <c r="M15" s="51" t="str">
        <f>IFERROR(__xludf.DUMMYFUNCTION("IF(J15="""","""",INDEX(SORT(FILTER('Room Inspections'!B4:N250,'Room Inspections'!K4:K250&lt;&gt;"""",'Room Inspections'!M4:M250&lt;=7),12,TRUE),4,11))"),"")</f>
        <v/>
      </c>
      <c r="N15" s="52" t="str">
        <f>IFERROR(__xludf.DUMMYFUNCTION("IF(J15="""","""",INDEX(SORT(FILTER('Room Inspections'!B4:N250,'Room Inspections'!K4:K250&lt;&gt;"""",'Room Inspections'!M4:M250&lt;=7),12,TRUE),4,12))"),"")</f>
        <v/>
      </c>
      <c r="O15" s="50" t="str">
        <f>IFERROR(__xludf.DUMMYFUNCTION("IF(J15="""","""",INDEX(SORT(FILTER('Room Inspections'!B4:N250,'Room Inspections'!K4:K250&lt;&gt;"""",'Room Inspections'!M4:M250&lt;=7),12,TRUE),4,13))"),"")</f>
        <v/>
      </c>
    </row>
    <row r="16" ht="19.5" customHeight="1">
      <c r="A16" s="48">
        <f>IFERROR(__xludf.DUMMYFUNCTION("IFERROR(INDEX(SORT(FILTER('Active Work Orders'!B4:G251,('Active Work Orders'!E4:E251=""Critical"")+('Active Work Orders'!E4:E251=""High""),'Active Work Orders'!G4:G251&lt;&gt;""Completed"",'Active Work Orders'!B4:B251&lt;&gt;""""),4,TRUE),5,1),"""")"),304.0)</f>
        <v>304</v>
      </c>
      <c r="B16" s="48" t="str">
        <f>IFERROR(__xludf.DUMMYFUNCTION("IF(A16="""","""",IFERROR(INDEX(SORT(FILTER('Active Work Orders'!B4:G251,('Active Work Orders'!E4:E251=""Critical"")+('Active Work Orders'!E4:E251=""High""),'Active Work Orders'!G4:G251&lt;&gt;""Completed"",'Active Work Orders'!B4:B251&lt;&gt;""""),4,TRUE),5,2),""""))"),"Safety")</f>
        <v>Safety</v>
      </c>
      <c r="C16" s="48" t="str">
        <f>IFERROR(__xludf.DUMMYFUNCTION("IF(A16="""","""",IFERROR(INDEX(SORT(FILTER('Active Work Orders'!B4:G251,('Active Work Orders'!E4:E251=""Critical"")+('Active Work Orders'!E4:E251=""High""),'Active Work Orders'!G4:G251&lt;&gt;""Completed"",'Active Work Orders'!B4:B251&lt;&gt;""""),4,TRUE),5,4),""""))"),"Critical")</f>
        <v>Critical</v>
      </c>
      <c r="J16" s="50" t="str">
        <f>IFERROR(__xludf.DUMMYFUNCTION("IFERROR(INDEX(SORT(FILTER('Room Inspections'!B4:N250,'Room Inspections'!K4:K250&lt;&gt;"""",'Room Inspections'!M4:M250&lt;=7),12,TRUE),5,1),"""")"),"")</f>
        <v/>
      </c>
      <c r="K16" s="50" t="str">
        <f>IFERROR(__xludf.DUMMYFUNCTION("IF(J16="""","""",INDEX(SORT(FILTER('Room Inspections'!B4:N250,'Room Inspections'!K4:K250&lt;&gt;"""",'Room Inspections'!M4:M250&lt;=7),12,TRUE),5,9))"),"")</f>
        <v/>
      </c>
      <c r="L16" s="51" t="str">
        <f>IFERROR(__xludf.DUMMYFUNCTION("IF(J16="""","""",INDEX(SORT(FILTER('Room Inspections'!B4:N250,'Room Inspections'!K4:K250&lt;&gt;"""",'Room Inspections'!M4:M250&lt;=7),12,TRUE),5,10))"),"")</f>
        <v/>
      </c>
      <c r="M16" s="51" t="str">
        <f>IFERROR(__xludf.DUMMYFUNCTION("IF(J16="""","""",INDEX(SORT(FILTER('Room Inspections'!B4:N250,'Room Inspections'!K4:K250&lt;&gt;"""",'Room Inspections'!M4:M250&lt;=7),12,TRUE),5,11))"),"")</f>
        <v/>
      </c>
      <c r="N16" s="52" t="str">
        <f>IFERROR(__xludf.DUMMYFUNCTION("IF(J16="""","""",INDEX(SORT(FILTER('Room Inspections'!B4:N250,'Room Inspections'!K4:K250&lt;&gt;"""",'Room Inspections'!M4:M250&lt;=7),12,TRUE),5,12))"),"")</f>
        <v/>
      </c>
      <c r="O16" s="50" t="str">
        <f>IFERROR(__xludf.DUMMYFUNCTION("IF(J16="""","""",INDEX(SORT(FILTER('Room Inspections'!B4:N250,'Room Inspections'!K4:K250&lt;&gt;"""",'Room Inspections'!M4:M250&lt;=7),12,TRUE),5,13))"),"")</f>
        <v/>
      </c>
    </row>
    <row r="17" ht="15.75" customHeight="1"/>
    <row r="18" ht="15.75" customHeight="1"/>
    <row r="19" ht="21.0" customHeight="1">
      <c r="A19" s="46" t="s">
        <v>131</v>
      </c>
      <c r="C19" s="2"/>
      <c r="D19" s="2"/>
    </row>
    <row r="20" ht="15.75" customHeight="1">
      <c r="A20" s="47" t="s">
        <v>15</v>
      </c>
      <c r="B20" s="47" t="s">
        <v>132</v>
      </c>
    </row>
    <row r="21" ht="18.0" customHeight="1">
      <c r="A21" s="50" t="s">
        <v>53</v>
      </c>
      <c r="B21" s="50">
        <f>COUNTIFS('Active Work Orders'!C$4:C$251,"Misc.",'Active Work Orders'!F$4:F$251,"&gt;="&amp;(TODAY()-30))</f>
        <v>5</v>
      </c>
    </row>
    <row r="22" ht="18.0" customHeight="1">
      <c r="A22" s="50" t="s">
        <v>116</v>
      </c>
      <c r="B22" s="50">
        <f>COUNTIFS('Active Work Orders'!C$4:C$251,"Climate/AC",'Active Work Orders'!F$4:F$251,"&gt;="&amp;(TODAY()-30))</f>
        <v>5</v>
      </c>
    </row>
    <row r="23" ht="18.0" customHeight="1">
      <c r="A23" s="50" t="s">
        <v>17</v>
      </c>
      <c r="B23" s="50">
        <f>COUNTIFS('Active Work Orders'!C$4:C$251,"Electrical",'Active Work Orders'!F$4:F$251,"&gt;="&amp;(TODAY()-30))</f>
        <v>4</v>
      </c>
    </row>
    <row r="24" ht="18.0" customHeight="1">
      <c r="A24" s="50" t="s">
        <v>67</v>
      </c>
      <c r="B24" s="50">
        <f>COUNTIFS('Active Work Orders'!C$4:C$251,"Technology",'Active Work Orders'!F$4:F$251,"&gt;="&amp;(TODAY()-30))</f>
        <v>15</v>
      </c>
    </row>
    <row r="25" ht="18.0" customHeight="1">
      <c r="A25" s="50" t="s">
        <v>14</v>
      </c>
      <c r="B25" s="50">
        <f>COUNTIFS('Active Work Orders'!C$4:C$251,"Plumbing",'Active Work Orders'!F$4:F$251,"&gt;="&amp;(TODAY()-30))</f>
        <v>15</v>
      </c>
    </row>
    <row r="26" ht="18.0" customHeight="1">
      <c r="A26" s="50" t="s">
        <v>105</v>
      </c>
      <c r="B26" s="50">
        <f>COUNTIFS('Active Work Orders'!C$4:C$251,"Walls",'Active Work Orders'!F$4:F$251,"&gt;="&amp;(TODAY()-30))</f>
        <v>18</v>
      </c>
    </row>
    <row r="27" ht="18.0" customHeight="1">
      <c r="A27" s="50" t="s">
        <v>63</v>
      </c>
      <c r="B27" s="50">
        <f>COUNTIFS('Active Work Orders'!C$4:C$251,"Ceiling",'Active Work Orders'!F$4:F$251,"&gt;="&amp;(TODAY()-30))</f>
        <v>3</v>
      </c>
    </row>
    <row r="28" ht="18.0" customHeight="1">
      <c r="A28" s="50" t="s">
        <v>60</v>
      </c>
      <c r="B28" s="50">
        <f>COUNTIFS('Active Work Orders'!C$4:C$251,"Floors",'Active Work Orders'!F$4:F$251,"&gt;="&amp;(TODAY()-30))</f>
        <v>15</v>
      </c>
    </row>
    <row r="29" ht="18.0" customHeight="1">
      <c r="A29" s="50" t="s">
        <v>78</v>
      </c>
      <c r="B29" s="50">
        <f>COUNTIFS('Active Work Orders'!C$4:C$251,"Doors",'Active Work Orders'!F$4:F$251,"&gt;="&amp;(TODAY()-30))</f>
        <v>13</v>
      </c>
    </row>
    <row r="30" ht="18.0" customHeight="1">
      <c r="A30" s="50" t="s">
        <v>137</v>
      </c>
      <c r="B30" s="50">
        <f>COUNTIFS('Active Work Orders'!C$4:C$251,"Safety",'Active Work Orders'!F$4:F$251,"&gt;="&amp;(TODAY()-30))</f>
        <v>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O1"/>
    <mergeCell ref="A2:O2"/>
    <mergeCell ref="D4:E4"/>
    <mergeCell ref="G4:H4"/>
    <mergeCell ref="A10:C10"/>
    <mergeCell ref="J10:O10"/>
    <mergeCell ref="A19:B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9.75"/>
    <col customWidth="1" min="2" max="2" width="18.88"/>
    <col customWidth="1" min="3" max="3" width="13.63"/>
    <col customWidth="1" min="4" max="4" width="40.13"/>
    <col customWidth="1" min="5" max="5" width="10.25"/>
    <col customWidth="1" min="6" max="6" width="15.13"/>
    <col customWidth="1" min="7" max="7" width="16.25"/>
  </cols>
  <sheetData>
    <row r="1" ht="15.75" customHeight="1">
      <c r="A1" s="1" t="s">
        <v>1</v>
      </c>
    </row>
    <row r="2" ht="15.75" customHeight="1">
      <c r="A2" s="3" t="s">
        <v>4</v>
      </c>
    </row>
    <row r="3" ht="15.75" customHeight="1">
      <c r="A3" s="4" t="s">
        <v>7</v>
      </c>
      <c r="B3" s="4" t="s">
        <v>11</v>
      </c>
      <c r="C3" s="4" t="s">
        <v>15</v>
      </c>
      <c r="D3" s="4" t="s">
        <v>18</v>
      </c>
      <c r="E3" s="4" t="s">
        <v>21</v>
      </c>
      <c r="F3" s="5" t="s">
        <v>25</v>
      </c>
      <c r="G3" s="4" t="s">
        <v>33</v>
      </c>
    </row>
    <row r="4" ht="15.75" customHeight="1">
      <c r="A4" s="7" t="s">
        <v>38</v>
      </c>
      <c r="B4" s="8">
        <v>213.0</v>
      </c>
      <c r="C4" s="8" t="s">
        <v>14</v>
      </c>
      <c r="D4" s="8" t="s">
        <v>47</v>
      </c>
      <c r="E4" s="8" t="s">
        <v>48</v>
      </c>
      <c r="F4" s="13">
        <v>46216.52291666667</v>
      </c>
      <c r="G4" s="8" t="s">
        <v>49</v>
      </c>
    </row>
    <row r="5" ht="15.75" customHeight="1">
      <c r="A5" s="15" t="s">
        <v>50</v>
      </c>
      <c r="B5" s="17">
        <v>313.0</v>
      </c>
      <c r="C5" s="17" t="s">
        <v>14</v>
      </c>
      <c r="D5" s="8" t="s">
        <v>47</v>
      </c>
      <c r="E5" s="17" t="s">
        <v>48</v>
      </c>
      <c r="F5" s="18">
        <v>46216.57708333334</v>
      </c>
      <c r="G5" s="17" t="s">
        <v>49</v>
      </c>
    </row>
    <row r="6" ht="15.75" customHeight="1">
      <c r="A6" s="7" t="s">
        <v>51</v>
      </c>
      <c r="B6" s="8" t="s">
        <v>52</v>
      </c>
      <c r="C6" s="8" t="s">
        <v>53</v>
      </c>
      <c r="D6" s="8" t="s">
        <v>54</v>
      </c>
      <c r="E6" s="8" t="s">
        <v>55</v>
      </c>
      <c r="F6" s="13">
        <v>46218.39583333333</v>
      </c>
      <c r="G6" s="8" t="s">
        <v>49</v>
      </c>
    </row>
    <row r="7" ht="15.75" customHeight="1">
      <c r="A7" s="15" t="s">
        <v>57</v>
      </c>
      <c r="B7" s="17">
        <v>210.0</v>
      </c>
      <c r="C7" s="17" t="s">
        <v>60</v>
      </c>
      <c r="D7" s="17" t="s">
        <v>61</v>
      </c>
      <c r="E7" s="17" t="s">
        <v>59</v>
      </c>
      <c r="F7" s="22">
        <v>46220.0</v>
      </c>
      <c r="G7" s="17" t="s">
        <v>49</v>
      </c>
    </row>
    <row r="8" ht="15.75" customHeight="1">
      <c r="A8" s="7" t="s">
        <v>62</v>
      </c>
      <c r="B8" s="17">
        <v>219.0</v>
      </c>
      <c r="C8" s="17" t="s">
        <v>63</v>
      </c>
      <c r="D8" s="17" t="s">
        <v>64</v>
      </c>
      <c r="E8" s="17" t="s">
        <v>55</v>
      </c>
      <c r="F8" s="25">
        <v>46220.604166666664</v>
      </c>
      <c r="G8" s="17" t="s">
        <v>49</v>
      </c>
    </row>
    <row r="9" ht="15.75" customHeight="1">
      <c r="A9" s="15" t="s">
        <v>66</v>
      </c>
      <c r="B9" s="8">
        <v>121.0</v>
      </c>
      <c r="C9" s="8" t="s">
        <v>67</v>
      </c>
      <c r="D9" s="8" t="s">
        <v>68</v>
      </c>
      <c r="E9" s="8" t="s">
        <v>59</v>
      </c>
      <c r="F9" s="13">
        <v>46222.38055555556</v>
      </c>
      <c r="G9" s="8" t="s">
        <v>49</v>
      </c>
    </row>
    <row r="10" ht="15.75" customHeight="1">
      <c r="A10" s="7" t="s">
        <v>70</v>
      </c>
      <c r="B10" s="17">
        <v>419.0</v>
      </c>
      <c r="C10" s="17" t="s">
        <v>53</v>
      </c>
      <c r="D10" s="17" t="s">
        <v>71</v>
      </c>
      <c r="E10" s="17" t="s">
        <v>48</v>
      </c>
      <c r="F10" s="18">
        <v>46222.39027777778</v>
      </c>
      <c r="G10" s="17" t="s">
        <v>49</v>
      </c>
    </row>
    <row r="11" ht="15.75" customHeight="1">
      <c r="A11" s="7" t="s">
        <v>72</v>
      </c>
      <c r="B11" s="8">
        <v>215.0</v>
      </c>
      <c r="C11" s="8" t="s">
        <v>17</v>
      </c>
      <c r="D11" s="8" t="s">
        <v>73</v>
      </c>
      <c r="E11" s="8" t="s">
        <v>45</v>
      </c>
      <c r="F11" s="13">
        <v>46222.461805555555</v>
      </c>
      <c r="G11" s="8" t="s">
        <v>49</v>
      </c>
    </row>
    <row r="12" ht="15.75" customHeight="1">
      <c r="A12" s="15" t="s">
        <v>74</v>
      </c>
      <c r="B12" s="17">
        <v>107.0</v>
      </c>
      <c r="C12" s="17" t="s">
        <v>60</v>
      </c>
      <c r="D12" s="17" t="s">
        <v>75</v>
      </c>
      <c r="E12" s="17" t="s">
        <v>45</v>
      </c>
      <c r="F12" s="18">
        <v>46222.472916666666</v>
      </c>
      <c r="G12" s="17" t="s">
        <v>49</v>
      </c>
    </row>
    <row r="13" ht="15.75" customHeight="1">
      <c r="A13" s="7" t="s">
        <v>76</v>
      </c>
      <c r="B13" s="17">
        <v>303.0</v>
      </c>
      <c r="C13" s="17" t="s">
        <v>78</v>
      </c>
      <c r="D13" s="17" t="s">
        <v>79</v>
      </c>
      <c r="E13" s="17" t="s">
        <v>59</v>
      </c>
      <c r="F13" s="18">
        <v>46222.51736111111</v>
      </c>
      <c r="G13" s="17" t="s">
        <v>49</v>
      </c>
    </row>
    <row r="14" ht="15.75" customHeight="1">
      <c r="A14" s="15" t="s">
        <v>80</v>
      </c>
      <c r="B14" s="17">
        <v>310.0</v>
      </c>
      <c r="C14" s="17" t="s">
        <v>60</v>
      </c>
      <c r="D14" s="17" t="s">
        <v>81</v>
      </c>
      <c r="E14" s="17" t="s">
        <v>48</v>
      </c>
      <c r="F14" s="18">
        <v>46222.59583333333</v>
      </c>
      <c r="G14" s="17" t="s">
        <v>49</v>
      </c>
    </row>
    <row r="15" ht="15.75" customHeight="1">
      <c r="A15" s="28" t="str">
        <f t="shared" ref="A15:A65" si="1">IF(G15&lt;&gt;"","WO-"&amp;TEXT(ROW()-3,"000"),"")</f>
        <v>WO-012</v>
      </c>
      <c r="B15" s="8">
        <v>205.0</v>
      </c>
      <c r="C15" s="8" t="s">
        <v>14</v>
      </c>
      <c r="D15" s="8" t="s">
        <v>84</v>
      </c>
      <c r="E15" s="8" t="s">
        <v>45</v>
      </c>
      <c r="F15" s="13">
        <v>46223.44305555556</v>
      </c>
      <c r="G15" s="8" t="s">
        <v>49</v>
      </c>
    </row>
    <row r="16" ht="15.75" customHeight="1">
      <c r="A16" s="29" t="str">
        <f t="shared" si="1"/>
        <v>WO-013</v>
      </c>
      <c r="B16" s="17">
        <v>217.0</v>
      </c>
      <c r="C16" s="17" t="s">
        <v>14</v>
      </c>
      <c r="D16" s="8" t="s">
        <v>84</v>
      </c>
      <c r="E16" s="17" t="s">
        <v>45</v>
      </c>
      <c r="F16" s="18">
        <v>46223.45694444445</v>
      </c>
      <c r="G16" s="17" t="s">
        <v>49</v>
      </c>
    </row>
    <row r="17" ht="15.75" customHeight="1">
      <c r="A17" s="28" t="str">
        <f t="shared" si="1"/>
        <v>WO-014</v>
      </c>
      <c r="B17" s="8">
        <v>411.0</v>
      </c>
      <c r="C17" s="8" t="s">
        <v>78</v>
      </c>
      <c r="D17" s="8" t="s">
        <v>87</v>
      </c>
      <c r="E17" s="8" t="s">
        <v>48</v>
      </c>
      <c r="F17" s="13">
        <v>46223.40277777778</v>
      </c>
      <c r="G17" s="8" t="s">
        <v>49</v>
      </c>
    </row>
    <row r="18" ht="15.75" customHeight="1">
      <c r="A18" s="29" t="str">
        <f t="shared" si="1"/>
        <v>WO-015</v>
      </c>
      <c r="B18" s="17">
        <v>319.0</v>
      </c>
      <c r="C18" s="17" t="s">
        <v>60</v>
      </c>
      <c r="D18" s="17" t="s">
        <v>90</v>
      </c>
      <c r="E18" s="17" t="s">
        <v>45</v>
      </c>
      <c r="F18" s="18">
        <v>46223.481944444444</v>
      </c>
      <c r="G18" s="17" t="s">
        <v>49</v>
      </c>
    </row>
    <row r="19" ht="15.75" customHeight="1">
      <c r="A19" s="28" t="str">
        <f t="shared" si="1"/>
        <v>WO-016</v>
      </c>
      <c r="B19" s="8">
        <v>208.0</v>
      </c>
      <c r="C19" s="8" t="s">
        <v>14</v>
      </c>
      <c r="D19" s="8" t="s">
        <v>92</v>
      </c>
      <c r="E19" s="8" t="s">
        <v>55</v>
      </c>
      <c r="F19" s="13">
        <v>46223.54861111111</v>
      </c>
      <c r="G19" s="8" t="s">
        <v>49</v>
      </c>
    </row>
    <row r="20" ht="15.75" customHeight="1">
      <c r="A20" s="29" t="str">
        <f t="shared" si="1"/>
        <v>WO-017</v>
      </c>
      <c r="B20" s="17">
        <v>211.0</v>
      </c>
      <c r="C20" s="17" t="s">
        <v>53</v>
      </c>
      <c r="D20" s="17" t="s">
        <v>95</v>
      </c>
      <c r="E20" s="17" t="s">
        <v>48</v>
      </c>
      <c r="F20" s="18">
        <v>46224.31319444445</v>
      </c>
      <c r="G20" s="17" t="s">
        <v>49</v>
      </c>
    </row>
    <row r="21" ht="15.75" customHeight="1">
      <c r="A21" s="28" t="str">
        <f t="shared" si="1"/>
        <v>WO-018</v>
      </c>
      <c r="B21" s="8">
        <v>317.0</v>
      </c>
      <c r="C21" s="8" t="s">
        <v>67</v>
      </c>
      <c r="D21" s="8" t="s">
        <v>98</v>
      </c>
      <c r="E21" s="8" t="s">
        <v>55</v>
      </c>
      <c r="F21" s="13">
        <v>46224.43541666667</v>
      </c>
      <c r="G21" s="8" t="s">
        <v>49</v>
      </c>
    </row>
    <row r="22" ht="15.75" customHeight="1">
      <c r="A22" s="29" t="str">
        <f t="shared" si="1"/>
        <v>WO-019</v>
      </c>
      <c r="B22" s="17">
        <v>211.0</v>
      </c>
      <c r="C22" s="17" t="s">
        <v>60</v>
      </c>
      <c r="D22" s="17" t="s">
        <v>102</v>
      </c>
      <c r="E22" s="17" t="s">
        <v>55</v>
      </c>
      <c r="F22" s="18">
        <v>46224.48472222222</v>
      </c>
      <c r="G22" s="17" t="s">
        <v>49</v>
      </c>
    </row>
    <row r="23" ht="15.75" customHeight="1">
      <c r="A23" s="28" t="str">
        <f t="shared" si="1"/>
        <v>WO-020</v>
      </c>
      <c r="B23" s="8">
        <v>410.0</v>
      </c>
      <c r="C23" s="8" t="s">
        <v>105</v>
      </c>
      <c r="D23" s="8" t="s">
        <v>106</v>
      </c>
      <c r="E23" s="8" t="s">
        <v>59</v>
      </c>
      <c r="F23" s="13">
        <v>46224.538194444445</v>
      </c>
      <c r="G23" s="8" t="s">
        <v>49</v>
      </c>
    </row>
    <row r="24" ht="15.75" customHeight="1">
      <c r="A24" s="29" t="str">
        <f t="shared" si="1"/>
        <v>WO-021</v>
      </c>
      <c r="B24" s="17">
        <v>101.0</v>
      </c>
      <c r="C24" s="17" t="s">
        <v>105</v>
      </c>
      <c r="D24" s="8" t="s">
        <v>106</v>
      </c>
      <c r="E24" s="17" t="s">
        <v>59</v>
      </c>
      <c r="F24" s="18">
        <v>46226.37777777778</v>
      </c>
      <c r="G24" s="17" t="s">
        <v>49</v>
      </c>
    </row>
    <row r="25" ht="15.75" customHeight="1">
      <c r="A25" s="28" t="str">
        <f t="shared" si="1"/>
        <v>WO-022</v>
      </c>
      <c r="B25" s="8">
        <v>107.0</v>
      </c>
      <c r="C25" s="8" t="s">
        <v>105</v>
      </c>
      <c r="D25" s="8" t="s">
        <v>106</v>
      </c>
      <c r="E25" s="8" t="s">
        <v>59</v>
      </c>
      <c r="F25" s="13">
        <v>46226.41527777778</v>
      </c>
      <c r="G25" s="8" t="s">
        <v>49</v>
      </c>
    </row>
    <row r="26" ht="15.75" customHeight="1">
      <c r="A26" s="28" t="str">
        <f t="shared" si="1"/>
        <v>WO-023</v>
      </c>
      <c r="B26" s="8">
        <v>410.0</v>
      </c>
      <c r="C26" s="8" t="s">
        <v>105</v>
      </c>
      <c r="D26" s="8" t="s">
        <v>106</v>
      </c>
      <c r="E26" s="8" t="s">
        <v>59</v>
      </c>
      <c r="F26" s="13">
        <v>46226.45694444445</v>
      </c>
      <c r="G26" s="8" t="s">
        <v>49</v>
      </c>
    </row>
    <row r="27" ht="15.75" customHeight="1">
      <c r="A27" s="29" t="str">
        <f t="shared" si="1"/>
        <v>WO-024</v>
      </c>
      <c r="B27" s="17">
        <v>202.0</v>
      </c>
      <c r="C27" s="17" t="s">
        <v>14</v>
      </c>
      <c r="D27" s="17" t="s">
        <v>114</v>
      </c>
      <c r="E27" s="17" t="s">
        <v>45</v>
      </c>
      <c r="F27" s="18">
        <v>46226.51111111111</v>
      </c>
      <c r="G27" s="17" t="s">
        <v>49</v>
      </c>
    </row>
    <row r="28" ht="15.75" customHeight="1">
      <c r="A28" s="28" t="str">
        <f t="shared" si="1"/>
        <v>WO-025</v>
      </c>
      <c r="B28" s="8">
        <v>215.0</v>
      </c>
      <c r="C28" s="8" t="s">
        <v>116</v>
      </c>
      <c r="D28" s="8" t="s">
        <v>117</v>
      </c>
      <c r="E28" s="8" t="s">
        <v>55</v>
      </c>
      <c r="F28" s="13">
        <v>46226.53125</v>
      </c>
      <c r="G28" s="8" t="s">
        <v>49</v>
      </c>
    </row>
    <row r="29" ht="15.75" customHeight="1">
      <c r="A29" s="29" t="str">
        <f t="shared" si="1"/>
        <v>WO-026</v>
      </c>
      <c r="B29" s="17" t="s">
        <v>52</v>
      </c>
      <c r="C29" s="17" t="s">
        <v>14</v>
      </c>
      <c r="D29" s="17" t="s">
        <v>119</v>
      </c>
      <c r="E29" s="17" t="s">
        <v>48</v>
      </c>
      <c r="F29" s="18">
        <v>46227.39236111111</v>
      </c>
      <c r="G29" s="17" t="s">
        <v>49</v>
      </c>
    </row>
    <row r="30" ht="15.75" customHeight="1">
      <c r="A30" s="28" t="str">
        <f t="shared" si="1"/>
        <v>WO-027</v>
      </c>
      <c r="B30" s="8">
        <v>211.0</v>
      </c>
      <c r="C30" s="8" t="s">
        <v>105</v>
      </c>
      <c r="D30" s="8" t="s">
        <v>120</v>
      </c>
      <c r="E30" s="8" t="s">
        <v>59</v>
      </c>
      <c r="F30" s="13">
        <v>46227.447222222225</v>
      </c>
      <c r="G30" s="8" t="s">
        <v>49</v>
      </c>
    </row>
    <row r="31" ht="15.75" customHeight="1">
      <c r="A31" s="29" t="str">
        <f t="shared" si="1"/>
        <v>WO-028</v>
      </c>
      <c r="B31" s="17">
        <v>310.0</v>
      </c>
      <c r="C31" s="17" t="s">
        <v>60</v>
      </c>
      <c r="D31" s="17" t="s">
        <v>122</v>
      </c>
      <c r="E31" s="17" t="s">
        <v>59</v>
      </c>
      <c r="F31" s="18">
        <v>46227.51041666667</v>
      </c>
      <c r="G31" s="17" t="s">
        <v>49</v>
      </c>
    </row>
    <row r="32" ht="15.75" customHeight="1">
      <c r="A32" s="29" t="str">
        <f t="shared" si="1"/>
        <v>WO-029</v>
      </c>
      <c r="B32" s="17">
        <v>319.0</v>
      </c>
      <c r="C32" s="17" t="s">
        <v>60</v>
      </c>
      <c r="D32" s="17" t="s">
        <v>124</v>
      </c>
      <c r="E32" s="17" t="s">
        <v>55</v>
      </c>
      <c r="F32" s="18">
        <v>46227.64513888889</v>
      </c>
      <c r="G32" s="17" t="s">
        <v>49</v>
      </c>
    </row>
    <row r="33" ht="15.75" customHeight="1">
      <c r="A33" s="28" t="str">
        <f t="shared" si="1"/>
        <v>WO-030</v>
      </c>
      <c r="B33" s="8">
        <v>211.0</v>
      </c>
      <c r="C33" s="8" t="s">
        <v>67</v>
      </c>
      <c r="D33" s="8" t="s">
        <v>125</v>
      </c>
      <c r="E33" s="8" t="s">
        <v>45</v>
      </c>
      <c r="F33" s="13">
        <v>46228.42708333333</v>
      </c>
      <c r="G33" s="8" t="s">
        <v>49</v>
      </c>
    </row>
    <row r="34" ht="15.75" customHeight="1">
      <c r="A34" s="29" t="str">
        <f t="shared" si="1"/>
        <v>WO-031</v>
      </c>
      <c r="B34" s="17">
        <v>201.0</v>
      </c>
      <c r="C34" s="17" t="s">
        <v>67</v>
      </c>
      <c r="D34" s="8" t="s">
        <v>125</v>
      </c>
      <c r="E34" s="17" t="s">
        <v>45</v>
      </c>
      <c r="F34" s="18">
        <v>46228.43680555555</v>
      </c>
      <c r="G34" s="17" t="s">
        <v>49</v>
      </c>
    </row>
    <row r="35" ht="15.75" customHeight="1">
      <c r="A35" s="28" t="str">
        <f t="shared" si="1"/>
        <v>WO-032</v>
      </c>
      <c r="B35" s="8">
        <v>203.0</v>
      </c>
      <c r="C35" s="8" t="s">
        <v>67</v>
      </c>
      <c r="D35" s="8" t="s">
        <v>125</v>
      </c>
      <c r="E35" s="8" t="s">
        <v>45</v>
      </c>
      <c r="F35" s="13">
        <v>46228.45486111111</v>
      </c>
      <c r="G35" s="8" t="s">
        <v>49</v>
      </c>
    </row>
    <row r="36" ht="15.75" customHeight="1">
      <c r="A36" s="29" t="str">
        <f t="shared" si="1"/>
        <v>WO-033</v>
      </c>
      <c r="B36" s="17">
        <v>410.0</v>
      </c>
      <c r="C36" s="17" t="s">
        <v>67</v>
      </c>
      <c r="D36" s="8" t="s">
        <v>125</v>
      </c>
      <c r="E36" s="17" t="s">
        <v>45</v>
      </c>
      <c r="F36" s="18">
        <v>46228.47777777778</v>
      </c>
      <c r="G36" s="17" t="s">
        <v>49</v>
      </c>
    </row>
    <row r="37" ht="15.75" customHeight="1">
      <c r="A37" s="28" t="str">
        <f t="shared" si="1"/>
        <v>WO-034</v>
      </c>
      <c r="B37" s="8">
        <v>310.0</v>
      </c>
      <c r="C37" s="8" t="s">
        <v>67</v>
      </c>
      <c r="D37" s="8" t="s">
        <v>125</v>
      </c>
      <c r="E37" s="8" t="s">
        <v>45</v>
      </c>
      <c r="F37" s="13">
        <v>46228.5</v>
      </c>
      <c r="G37" s="8" t="s">
        <v>49</v>
      </c>
    </row>
    <row r="38" ht="15.75" customHeight="1">
      <c r="A38" s="29" t="str">
        <f t="shared" si="1"/>
        <v>WO-035</v>
      </c>
      <c r="B38" s="17">
        <v>315.0</v>
      </c>
      <c r="C38" s="17" t="s">
        <v>67</v>
      </c>
      <c r="D38" s="8" t="s">
        <v>125</v>
      </c>
      <c r="E38" s="17" t="s">
        <v>45</v>
      </c>
      <c r="F38" s="18">
        <v>46228.51597222222</v>
      </c>
      <c r="G38" s="17" t="s">
        <v>49</v>
      </c>
    </row>
    <row r="39" ht="15.75" customHeight="1">
      <c r="A39" s="28" t="str">
        <f t="shared" si="1"/>
        <v>WO-036</v>
      </c>
      <c r="B39" s="8">
        <v>413.0</v>
      </c>
      <c r="C39" s="8" t="s">
        <v>78</v>
      </c>
      <c r="D39" s="8" t="s">
        <v>127</v>
      </c>
      <c r="E39" s="8" t="s">
        <v>48</v>
      </c>
      <c r="F39" s="13">
        <v>46228.535416666666</v>
      </c>
      <c r="G39" s="8" t="s">
        <v>49</v>
      </c>
    </row>
    <row r="40" ht="15.75" customHeight="1">
      <c r="A40" s="29" t="str">
        <f t="shared" si="1"/>
        <v>WO-037</v>
      </c>
      <c r="B40" s="17">
        <v>101.0</v>
      </c>
      <c r="C40" s="17" t="s">
        <v>105</v>
      </c>
      <c r="D40" s="8" t="s">
        <v>106</v>
      </c>
      <c r="E40" s="17" t="s">
        <v>59</v>
      </c>
      <c r="F40" s="18">
        <v>46228.54375</v>
      </c>
      <c r="G40" s="17" t="s">
        <v>49</v>
      </c>
    </row>
    <row r="41" ht="15.75" customHeight="1">
      <c r="A41" s="28" t="str">
        <f t="shared" si="1"/>
        <v>WO-038</v>
      </c>
      <c r="B41" s="8">
        <v>219.0</v>
      </c>
      <c r="C41" s="8" t="s">
        <v>63</v>
      </c>
      <c r="D41" s="8" t="s">
        <v>128</v>
      </c>
      <c r="E41" s="8" t="s">
        <v>48</v>
      </c>
      <c r="F41" s="13">
        <v>46228.600694444445</v>
      </c>
      <c r="G41" s="8" t="s">
        <v>49</v>
      </c>
    </row>
    <row r="42" ht="15.75" customHeight="1">
      <c r="A42" s="29" t="str">
        <f t="shared" si="1"/>
        <v>WO-039</v>
      </c>
      <c r="B42" s="17">
        <v>415.0</v>
      </c>
      <c r="C42" s="17" t="s">
        <v>78</v>
      </c>
      <c r="D42" s="17" t="s">
        <v>130</v>
      </c>
      <c r="E42" s="17" t="s">
        <v>48</v>
      </c>
      <c r="F42" s="18">
        <v>46228.618055555555</v>
      </c>
      <c r="G42" s="17" t="s">
        <v>49</v>
      </c>
    </row>
    <row r="43" ht="15.75" customHeight="1">
      <c r="A43" s="28" t="str">
        <f t="shared" si="1"/>
        <v>WO-040</v>
      </c>
      <c r="B43" s="8">
        <v>101.0</v>
      </c>
      <c r="C43" s="8" t="s">
        <v>78</v>
      </c>
      <c r="D43" s="17" t="s">
        <v>130</v>
      </c>
      <c r="E43" s="8" t="s">
        <v>48</v>
      </c>
      <c r="F43" s="13">
        <v>46228.634722222225</v>
      </c>
      <c r="G43" s="8" t="s">
        <v>49</v>
      </c>
    </row>
    <row r="44" ht="15.75" customHeight="1">
      <c r="A44" s="29" t="str">
        <f t="shared" si="1"/>
        <v>WO-041</v>
      </c>
      <c r="B44" s="17">
        <v>107.0</v>
      </c>
      <c r="C44" s="17" t="s">
        <v>78</v>
      </c>
      <c r="D44" s="17" t="s">
        <v>130</v>
      </c>
      <c r="E44" s="17" t="s">
        <v>48</v>
      </c>
      <c r="F44" s="18">
        <v>46228.65694444445</v>
      </c>
      <c r="G44" s="17" t="s">
        <v>49</v>
      </c>
    </row>
    <row r="45" ht="15.75" customHeight="1">
      <c r="A45" s="28" t="str">
        <f t="shared" si="1"/>
        <v>WO-042</v>
      </c>
      <c r="B45" s="8">
        <v>303.0</v>
      </c>
      <c r="C45" s="8" t="s">
        <v>67</v>
      </c>
      <c r="D45" s="8" t="s">
        <v>133</v>
      </c>
      <c r="E45" s="8" t="s">
        <v>55</v>
      </c>
      <c r="F45" s="13">
        <v>46229.36944444444</v>
      </c>
      <c r="G45" s="8" t="s">
        <v>49</v>
      </c>
    </row>
    <row r="46" ht="15.75" customHeight="1">
      <c r="A46" s="28" t="str">
        <f t="shared" si="1"/>
        <v>WO-043</v>
      </c>
      <c r="B46" s="8">
        <v>319.0</v>
      </c>
      <c r="C46" s="8" t="s">
        <v>14</v>
      </c>
      <c r="D46" s="8" t="s">
        <v>134</v>
      </c>
      <c r="E46" s="8" t="s">
        <v>48</v>
      </c>
      <c r="F46" s="13">
        <v>46229.46736111111</v>
      </c>
      <c r="G46" s="8" t="s">
        <v>49</v>
      </c>
    </row>
    <row r="47" ht="15.75" customHeight="1">
      <c r="A47" s="29" t="str">
        <f t="shared" si="1"/>
        <v>WO-044</v>
      </c>
      <c r="B47" s="17">
        <v>319.0</v>
      </c>
      <c r="C47" s="17" t="s">
        <v>60</v>
      </c>
      <c r="D47" s="17" t="s">
        <v>135</v>
      </c>
      <c r="E47" s="17" t="s">
        <v>48</v>
      </c>
      <c r="F47" s="18">
        <v>46229.53472222222</v>
      </c>
      <c r="G47" s="17" t="s">
        <v>49</v>
      </c>
    </row>
    <row r="48" ht="15.75" customHeight="1">
      <c r="A48" s="28" t="str">
        <f t="shared" si="1"/>
        <v>WO-045</v>
      </c>
      <c r="B48" s="8">
        <v>215.0</v>
      </c>
      <c r="C48" s="8" t="s">
        <v>14</v>
      </c>
      <c r="D48" s="8" t="s">
        <v>136</v>
      </c>
      <c r="E48" s="8" t="s">
        <v>45</v>
      </c>
      <c r="F48" s="13">
        <v>46229.54513888889</v>
      </c>
      <c r="G48" s="8" t="s">
        <v>49</v>
      </c>
    </row>
    <row r="49" ht="15.75" customHeight="1">
      <c r="A49" s="28" t="str">
        <f t="shared" si="1"/>
        <v>WO-046</v>
      </c>
      <c r="B49" s="8" t="s">
        <v>52</v>
      </c>
      <c r="C49" s="8" t="s">
        <v>53</v>
      </c>
      <c r="D49" s="8" t="s">
        <v>138</v>
      </c>
      <c r="E49" s="8" t="s">
        <v>55</v>
      </c>
      <c r="F49" s="13">
        <v>46229.575</v>
      </c>
      <c r="G49" s="8" t="s">
        <v>49</v>
      </c>
    </row>
    <row r="50" ht="15.75" customHeight="1">
      <c r="A50" s="29" t="str">
        <f t="shared" si="1"/>
        <v>WO-047</v>
      </c>
      <c r="B50" s="17">
        <v>105.0</v>
      </c>
      <c r="C50" s="17" t="s">
        <v>105</v>
      </c>
      <c r="D50" s="8" t="s">
        <v>106</v>
      </c>
      <c r="E50" s="17" t="s">
        <v>59</v>
      </c>
      <c r="F50" s="18">
        <v>46229.59375</v>
      </c>
      <c r="G50" s="17" t="s">
        <v>49</v>
      </c>
    </row>
    <row r="51" ht="15.75" customHeight="1">
      <c r="A51" s="29" t="str">
        <f t="shared" si="1"/>
        <v>WO-048</v>
      </c>
      <c r="B51" s="17">
        <v>121.0</v>
      </c>
      <c r="C51" s="17" t="s">
        <v>105</v>
      </c>
      <c r="D51" s="8" t="s">
        <v>106</v>
      </c>
      <c r="E51" s="17" t="s">
        <v>59</v>
      </c>
      <c r="F51" s="18">
        <v>46230.37638888889</v>
      </c>
      <c r="G51" s="17" t="s">
        <v>49</v>
      </c>
    </row>
    <row r="52" ht="15.75" customHeight="1">
      <c r="A52" s="28" t="str">
        <f t="shared" si="1"/>
        <v>WO-049</v>
      </c>
      <c r="B52" s="8">
        <v>318.0</v>
      </c>
      <c r="C52" s="8" t="s">
        <v>60</v>
      </c>
      <c r="D52" s="8" t="s">
        <v>162</v>
      </c>
      <c r="E52" s="8" t="s">
        <v>59</v>
      </c>
      <c r="F52" s="13">
        <v>46230.57847222222</v>
      </c>
      <c r="G52" s="8" t="s">
        <v>49</v>
      </c>
    </row>
    <row r="53" ht="15.75" customHeight="1">
      <c r="A53" s="28" t="str">
        <f t="shared" si="1"/>
        <v>WO-050</v>
      </c>
      <c r="B53" s="8">
        <v>203.0</v>
      </c>
      <c r="C53" s="8" t="s">
        <v>60</v>
      </c>
      <c r="D53" s="17" t="s">
        <v>75</v>
      </c>
      <c r="E53" s="8" t="s">
        <v>55</v>
      </c>
      <c r="F53" s="13">
        <v>46231.55069444445</v>
      </c>
      <c r="G53" s="8" t="s">
        <v>49</v>
      </c>
    </row>
    <row r="54" ht="15.75" customHeight="1">
      <c r="A54" s="29" t="str">
        <f t="shared" si="1"/>
        <v>WO-051</v>
      </c>
      <c r="B54" s="17">
        <v>413.0</v>
      </c>
      <c r="C54" s="17" t="s">
        <v>116</v>
      </c>
      <c r="D54" s="17" t="s">
        <v>172</v>
      </c>
      <c r="E54" s="17" t="s">
        <v>45</v>
      </c>
      <c r="F54" s="18">
        <v>46231.55069444445</v>
      </c>
      <c r="G54" s="17" t="s">
        <v>49</v>
      </c>
    </row>
    <row r="55" ht="15.75" customHeight="1">
      <c r="A55" s="28" t="str">
        <f t="shared" si="1"/>
        <v>WO-052</v>
      </c>
      <c r="B55" s="8">
        <v>215.0</v>
      </c>
      <c r="C55" s="8" t="s">
        <v>63</v>
      </c>
      <c r="D55" s="8" t="s">
        <v>128</v>
      </c>
      <c r="E55" s="8" t="s">
        <v>45</v>
      </c>
      <c r="F55" s="13">
        <v>46231.55069444445</v>
      </c>
      <c r="G55" s="8" t="s">
        <v>49</v>
      </c>
    </row>
    <row r="56" ht="15.75" customHeight="1">
      <c r="A56" s="29" t="str">
        <f t="shared" si="1"/>
        <v>WO-053</v>
      </c>
      <c r="B56" s="17">
        <v>104.0</v>
      </c>
      <c r="C56" s="17" t="s">
        <v>14</v>
      </c>
      <c r="D56" s="17" t="s">
        <v>173</v>
      </c>
      <c r="E56" s="17" t="s">
        <v>59</v>
      </c>
      <c r="F56" s="18">
        <v>46233.44305555556</v>
      </c>
      <c r="G56" s="17" t="s">
        <v>49</v>
      </c>
    </row>
    <row r="57" ht="15.75" customHeight="1">
      <c r="A57" s="28" t="str">
        <f t="shared" si="1"/>
        <v>WO-054</v>
      </c>
      <c r="B57" s="8">
        <v>107.0</v>
      </c>
      <c r="C57" s="8" t="s">
        <v>105</v>
      </c>
      <c r="D57" s="8" t="s">
        <v>174</v>
      </c>
      <c r="E57" s="8" t="s">
        <v>45</v>
      </c>
      <c r="F57" s="13">
        <v>46233.45416666666</v>
      </c>
      <c r="G57" s="8" t="s">
        <v>49</v>
      </c>
    </row>
    <row r="58" ht="15.75" customHeight="1">
      <c r="A58" s="29" t="str">
        <f t="shared" si="1"/>
        <v>WO-055</v>
      </c>
      <c r="B58" s="17">
        <v>210.0</v>
      </c>
      <c r="C58" s="17" t="s">
        <v>60</v>
      </c>
      <c r="D58" s="17" t="s">
        <v>175</v>
      </c>
      <c r="E58" s="17" t="s">
        <v>55</v>
      </c>
      <c r="F58" s="18">
        <v>46233.552777777775</v>
      </c>
      <c r="G58" s="17" t="s">
        <v>49</v>
      </c>
    </row>
    <row r="59" ht="15.75" customHeight="1">
      <c r="A59" s="28" t="str">
        <f t="shared" si="1"/>
        <v>WO-056</v>
      </c>
      <c r="B59" s="8">
        <v>307.0</v>
      </c>
      <c r="C59" s="8" t="s">
        <v>60</v>
      </c>
      <c r="D59" s="17" t="s">
        <v>75</v>
      </c>
      <c r="E59" s="8" t="s">
        <v>45</v>
      </c>
      <c r="F59" s="13">
        <v>46233.70208333334</v>
      </c>
      <c r="G59" s="8" t="s">
        <v>49</v>
      </c>
    </row>
    <row r="60" ht="15.75" customHeight="1">
      <c r="A60" s="29" t="str">
        <f t="shared" si="1"/>
        <v>WO-057</v>
      </c>
      <c r="B60" s="17">
        <v>313.0</v>
      </c>
      <c r="C60" s="17" t="s">
        <v>105</v>
      </c>
      <c r="D60" s="8" t="s">
        <v>106</v>
      </c>
      <c r="E60" s="17" t="s">
        <v>59</v>
      </c>
      <c r="F60" s="18">
        <v>46234.43819444445</v>
      </c>
      <c r="G60" s="17" t="s">
        <v>49</v>
      </c>
    </row>
    <row r="61" ht="15.75" customHeight="1">
      <c r="A61" s="28" t="str">
        <f t="shared" si="1"/>
        <v>WO-058</v>
      </c>
      <c r="B61" s="8">
        <v>317.0</v>
      </c>
      <c r="C61" s="8" t="s">
        <v>14</v>
      </c>
      <c r="D61" s="8" t="s">
        <v>176</v>
      </c>
      <c r="E61" s="8" t="s">
        <v>55</v>
      </c>
      <c r="F61" s="13">
        <v>46234.49652777778</v>
      </c>
      <c r="G61" s="8" t="s">
        <v>49</v>
      </c>
    </row>
    <row r="62" ht="15.75" customHeight="1">
      <c r="A62" s="29" t="str">
        <f t="shared" si="1"/>
        <v>WO-059</v>
      </c>
      <c r="B62" s="17">
        <v>317.0</v>
      </c>
      <c r="C62" s="17" t="s">
        <v>67</v>
      </c>
      <c r="D62" s="8" t="s">
        <v>125</v>
      </c>
      <c r="E62" s="17" t="s">
        <v>45</v>
      </c>
      <c r="F62" s="18">
        <v>46234.49652777778</v>
      </c>
      <c r="G62" s="17" t="s">
        <v>49</v>
      </c>
    </row>
    <row r="63" ht="15.75" customHeight="1">
      <c r="A63" s="28" t="str">
        <f t="shared" si="1"/>
        <v>WO-060</v>
      </c>
      <c r="B63" s="8">
        <v>101.0</v>
      </c>
      <c r="C63" s="8" t="s">
        <v>105</v>
      </c>
      <c r="D63" s="8" t="s">
        <v>106</v>
      </c>
      <c r="E63" s="8" t="s">
        <v>59</v>
      </c>
      <c r="F63" s="13">
        <v>46234.58819444444</v>
      </c>
      <c r="G63" s="8" t="s">
        <v>49</v>
      </c>
    </row>
    <row r="64" ht="15.75" customHeight="1">
      <c r="A64" s="29" t="str">
        <f t="shared" si="1"/>
        <v>WO-061</v>
      </c>
      <c r="B64" s="17">
        <v>219.0</v>
      </c>
      <c r="C64" s="17" t="s">
        <v>53</v>
      </c>
      <c r="D64" s="17" t="s">
        <v>179</v>
      </c>
      <c r="E64" s="17" t="s">
        <v>59</v>
      </c>
      <c r="F64" s="18">
        <v>46234.63888888889</v>
      </c>
      <c r="G64" s="17" t="s">
        <v>49</v>
      </c>
    </row>
    <row r="65" ht="15.75" customHeight="1">
      <c r="A65" s="28" t="str">
        <f t="shared" si="1"/>
        <v>WO-062</v>
      </c>
      <c r="B65" s="8">
        <v>210.0</v>
      </c>
      <c r="C65" s="8" t="s">
        <v>60</v>
      </c>
      <c r="D65" s="17" t="s">
        <v>75</v>
      </c>
      <c r="E65" s="8" t="s">
        <v>45</v>
      </c>
      <c r="F65" s="13">
        <v>46234.669444444444</v>
      </c>
      <c r="G65" s="8" t="s">
        <v>49</v>
      </c>
    </row>
    <row r="66" ht="15.75" customHeight="1">
      <c r="A66" s="7" t="s">
        <v>192</v>
      </c>
      <c r="B66" s="9">
        <v>207.0</v>
      </c>
      <c r="C66" s="8" t="s">
        <v>105</v>
      </c>
      <c r="D66" s="9" t="s">
        <v>198</v>
      </c>
      <c r="E66" s="9" t="s">
        <v>59</v>
      </c>
      <c r="F66" s="54">
        <v>46220.0</v>
      </c>
      <c r="G66" s="9" t="s">
        <v>96</v>
      </c>
    </row>
    <row r="67" ht="15.75" customHeight="1">
      <c r="A67" s="7" t="s">
        <v>206</v>
      </c>
      <c r="B67" s="8">
        <v>210.0</v>
      </c>
      <c r="C67" s="8" t="s">
        <v>17</v>
      </c>
      <c r="D67" s="8" t="s">
        <v>208</v>
      </c>
      <c r="E67" s="8" t="s">
        <v>45</v>
      </c>
      <c r="F67" s="55">
        <v>46220.479166666664</v>
      </c>
      <c r="G67" s="8" t="s">
        <v>96</v>
      </c>
    </row>
    <row r="68" ht="15.75" customHeight="1">
      <c r="A68" s="7" t="s">
        <v>209</v>
      </c>
      <c r="B68" s="17">
        <v>210.0</v>
      </c>
      <c r="C68" s="17" t="s">
        <v>60</v>
      </c>
      <c r="D68" s="17" t="s">
        <v>210</v>
      </c>
      <c r="E68" s="17" t="s">
        <v>45</v>
      </c>
      <c r="F68" s="55">
        <v>46220.479166666664</v>
      </c>
      <c r="G68" s="17" t="s">
        <v>96</v>
      </c>
    </row>
    <row r="69" ht="15.75" customHeight="1">
      <c r="A69" s="15" t="s">
        <v>211</v>
      </c>
      <c r="B69" s="8">
        <v>210.0</v>
      </c>
      <c r="C69" s="8" t="s">
        <v>105</v>
      </c>
      <c r="D69" s="8" t="s">
        <v>212</v>
      </c>
      <c r="E69" s="8" t="s">
        <v>45</v>
      </c>
      <c r="F69" s="55">
        <v>46220.479166666664</v>
      </c>
      <c r="G69" s="8" t="s">
        <v>96</v>
      </c>
    </row>
    <row r="70" ht="15.75" customHeight="1">
      <c r="A70" s="28" t="str">
        <f t="shared" ref="A70:A73" si="2">IF(G70&lt;&gt;"","WO-"&amp;TEXT(ROW()-3,"000"),"")</f>
        <v>WO-067</v>
      </c>
      <c r="B70" s="8">
        <v>316.0</v>
      </c>
      <c r="C70" s="8" t="s">
        <v>17</v>
      </c>
      <c r="D70" s="8" t="s">
        <v>213</v>
      </c>
      <c r="E70" s="8" t="s">
        <v>45</v>
      </c>
      <c r="F70" s="13">
        <v>46223.336111111115</v>
      </c>
      <c r="G70" s="8" t="s">
        <v>96</v>
      </c>
    </row>
    <row r="71" ht="15.75" customHeight="1">
      <c r="A71" s="29" t="str">
        <f t="shared" si="2"/>
        <v>WO-068</v>
      </c>
      <c r="B71" s="17">
        <v>101.0</v>
      </c>
      <c r="C71" s="17" t="s">
        <v>14</v>
      </c>
      <c r="D71" s="17" t="s">
        <v>214</v>
      </c>
      <c r="E71" s="17" t="s">
        <v>45</v>
      </c>
      <c r="F71" s="18">
        <v>46223.336805555555</v>
      </c>
      <c r="G71" s="17" t="s">
        <v>96</v>
      </c>
    </row>
    <row r="72" ht="15.75" customHeight="1">
      <c r="A72" s="29" t="str">
        <f t="shared" si="2"/>
        <v>WO-069</v>
      </c>
      <c r="B72" s="17">
        <v>201.0</v>
      </c>
      <c r="C72" s="17" t="s">
        <v>17</v>
      </c>
      <c r="D72" s="17" t="s">
        <v>215</v>
      </c>
      <c r="E72" s="17" t="s">
        <v>48</v>
      </c>
      <c r="F72" s="18">
        <v>46226.42708333333</v>
      </c>
      <c r="G72" s="17" t="s">
        <v>96</v>
      </c>
    </row>
    <row r="73" ht="15.75" customHeight="1">
      <c r="A73" s="29" t="str">
        <f t="shared" si="2"/>
        <v>WO-070</v>
      </c>
      <c r="B73" s="17">
        <v>209.0</v>
      </c>
      <c r="C73" s="17" t="s">
        <v>116</v>
      </c>
      <c r="D73" s="17" t="s">
        <v>216</v>
      </c>
      <c r="E73" s="17" t="s">
        <v>45</v>
      </c>
      <c r="F73" s="18">
        <v>46229.39444444445</v>
      </c>
      <c r="G73" s="17" t="s">
        <v>96</v>
      </c>
    </row>
    <row r="74" ht="15.75" customHeight="1">
      <c r="A74" s="7" t="s">
        <v>217</v>
      </c>
      <c r="B74" s="8">
        <v>209.0</v>
      </c>
      <c r="C74" s="8" t="s">
        <v>78</v>
      </c>
      <c r="D74" s="17" t="s">
        <v>218</v>
      </c>
      <c r="E74" s="8" t="s">
        <v>48</v>
      </c>
      <c r="F74" s="13">
        <v>46229.39583333333</v>
      </c>
      <c r="G74" s="8" t="s">
        <v>96</v>
      </c>
    </row>
    <row r="75" ht="15.75" customHeight="1">
      <c r="A75" s="28" t="str">
        <f t="shared" ref="A75:A93" si="3">IF(G75&lt;&gt;"","WO-"&amp;TEXT(ROW()-3,"000"),"")</f>
        <v>WO-072</v>
      </c>
      <c r="B75" s="8">
        <v>219.0</v>
      </c>
      <c r="C75" s="8" t="s">
        <v>78</v>
      </c>
      <c r="D75" s="17" t="s">
        <v>218</v>
      </c>
      <c r="E75" s="8" t="s">
        <v>48</v>
      </c>
      <c r="F75" s="13">
        <v>46229.40347222222</v>
      </c>
      <c r="G75" s="8" t="s">
        <v>96</v>
      </c>
    </row>
    <row r="76" ht="15.75" customHeight="1">
      <c r="A76" s="29" t="str">
        <f t="shared" si="3"/>
        <v>WO-073</v>
      </c>
      <c r="B76" s="17">
        <v>303.0</v>
      </c>
      <c r="C76" s="17" t="s">
        <v>78</v>
      </c>
      <c r="D76" s="17" t="s">
        <v>218</v>
      </c>
      <c r="E76" s="17" t="s">
        <v>48</v>
      </c>
      <c r="F76" s="18">
        <v>46229.4125</v>
      </c>
      <c r="G76" s="17" t="s">
        <v>96</v>
      </c>
    </row>
    <row r="77" ht="15.75" customHeight="1">
      <c r="A77" s="28" t="str">
        <f t="shared" si="3"/>
        <v>WO-074</v>
      </c>
      <c r="B77" s="8">
        <v>304.0</v>
      </c>
      <c r="C77" s="8" t="s">
        <v>67</v>
      </c>
      <c r="D77" s="8" t="s">
        <v>125</v>
      </c>
      <c r="E77" s="8" t="s">
        <v>45</v>
      </c>
      <c r="F77" s="13">
        <v>46229.41527777778</v>
      </c>
      <c r="G77" s="8" t="s">
        <v>96</v>
      </c>
    </row>
    <row r="78" ht="15.75" customHeight="1">
      <c r="A78" s="29" t="str">
        <f t="shared" si="3"/>
        <v>WO-075</v>
      </c>
      <c r="B78" s="17">
        <v>304.0</v>
      </c>
      <c r="C78" s="17" t="s">
        <v>137</v>
      </c>
      <c r="D78" s="17" t="s">
        <v>219</v>
      </c>
      <c r="E78" s="17" t="s">
        <v>48</v>
      </c>
      <c r="F78" s="18">
        <v>46229.41666666667</v>
      </c>
      <c r="G78" s="17" t="s">
        <v>96</v>
      </c>
    </row>
    <row r="79" ht="15.75" customHeight="1">
      <c r="A79" s="28" t="str">
        <f t="shared" si="3"/>
        <v>WO-076</v>
      </c>
      <c r="B79" s="8">
        <v>306.0</v>
      </c>
      <c r="C79" s="8" t="s">
        <v>78</v>
      </c>
      <c r="D79" s="17" t="s">
        <v>218</v>
      </c>
      <c r="E79" s="8" t="s">
        <v>48</v>
      </c>
      <c r="F79" s="13">
        <v>46229.42083333334</v>
      </c>
      <c r="G79" s="8" t="s">
        <v>96</v>
      </c>
    </row>
    <row r="80" ht="15.75" customHeight="1">
      <c r="A80" s="29" t="str">
        <f t="shared" si="3"/>
        <v>WO-077</v>
      </c>
      <c r="B80" s="17">
        <v>306.0</v>
      </c>
      <c r="C80" s="17" t="s">
        <v>137</v>
      </c>
      <c r="D80" s="17" t="s">
        <v>219</v>
      </c>
      <c r="E80" s="17" t="s">
        <v>48</v>
      </c>
      <c r="F80" s="18">
        <v>46229.42152777778</v>
      </c>
      <c r="G80" s="17" t="s">
        <v>96</v>
      </c>
    </row>
    <row r="81" ht="15.75" customHeight="1">
      <c r="A81" s="28" t="str">
        <f t="shared" si="3"/>
        <v>WO-078</v>
      </c>
      <c r="B81" s="8">
        <v>314.0</v>
      </c>
      <c r="C81" s="8" t="s">
        <v>67</v>
      </c>
      <c r="D81" s="8" t="s">
        <v>125</v>
      </c>
      <c r="E81" s="8" t="s">
        <v>45</v>
      </c>
      <c r="F81" s="13">
        <v>46229.42291666666</v>
      </c>
      <c r="G81" s="8" t="s">
        <v>96</v>
      </c>
    </row>
    <row r="82" ht="15.75" customHeight="1">
      <c r="A82" s="29" t="str">
        <f t="shared" si="3"/>
        <v>WO-079</v>
      </c>
      <c r="B82" s="17">
        <v>318.0</v>
      </c>
      <c r="C82" s="17" t="s">
        <v>14</v>
      </c>
      <c r="D82" s="17" t="s">
        <v>238</v>
      </c>
      <c r="E82" s="17" t="s">
        <v>55</v>
      </c>
      <c r="F82" s="18">
        <v>46229.425</v>
      </c>
      <c r="G82" s="17" t="s">
        <v>96</v>
      </c>
    </row>
    <row r="83" ht="15.75" customHeight="1">
      <c r="A83" s="28" t="str">
        <f t="shared" si="3"/>
        <v>WO-080</v>
      </c>
      <c r="B83" s="8">
        <v>318.0</v>
      </c>
      <c r="C83" s="8" t="s">
        <v>137</v>
      </c>
      <c r="D83" s="17" t="s">
        <v>219</v>
      </c>
      <c r="E83" s="8" t="s">
        <v>48</v>
      </c>
      <c r="F83" s="13">
        <v>46229.425</v>
      </c>
      <c r="G83" s="8" t="s">
        <v>96</v>
      </c>
    </row>
    <row r="84" ht="15.75" customHeight="1">
      <c r="A84" s="29" t="str">
        <f t="shared" si="3"/>
        <v>WO-081</v>
      </c>
      <c r="B84" s="17">
        <v>402.0</v>
      </c>
      <c r="C84" s="17" t="s">
        <v>78</v>
      </c>
      <c r="D84" s="17" t="s">
        <v>218</v>
      </c>
      <c r="E84" s="17" t="s">
        <v>48</v>
      </c>
      <c r="F84" s="18">
        <v>46229.42708333333</v>
      </c>
      <c r="G84" s="17" t="s">
        <v>96</v>
      </c>
    </row>
    <row r="85" ht="15.75" customHeight="1">
      <c r="A85" s="28" t="str">
        <f t="shared" si="3"/>
        <v>WO-082</v>
      </c>
      <c r="B85" s="8">
        <v>402.0</v>
      </c>
      <c r="C85" s="8" t="s">
        <v>67</v>
      </c>
      <c r="D85" s="8" t="s">
        <v>125</v>
      </c>
      <c r="E85" s="8" t="s">
        <v>45</v>
      </c>
      <c r="F85" s="13">
        <v>46229.42708333333</v>
      </c>
      <c r="G85" s="8" t="s">
        <v>96</v>
      </c>
    </row>
    <row r="86" ht="15.75" customHeight="1">
      <c r="A86" s="29" t="str">
        <f t="shared" si="3"/>
        <v>WO-083</v>
      </c>
      <c r="B86" s="17">
        <v>402.0</v>
      </c>
      <c r="C86" s="17" t="s">
        <v>105</v>
      </c>
      <c r="D86" s="17" t="s">
        <v>246</v>
      </c>
      <c r="E86" s="17" t="s">
        <v>59</v>
      </c>
      <c r="F86" s="18">
        <v>46229.42708333333</v>
      </c>
      <c r="G86" s="17" t="s">
        <v>96</v>
      </c>
    </row>
    <row r="87" ht="15.75" customHeight="1">
      <c r="A87" s="29" t="str">
        <f t="shared" si="3"/>
        <v>WO-084</v>
      </c>
      <c r="B87" s="17">
        <v>319.0</v>
      </c>
      <c r="C87" s="17" t="s">
        <v>78</v>
      </c>
      <c r="D87" s="17" t="s">
        <v>218</v>
      </c>
      <c r="E87" s="17" t="s">
        <v>48</v>
      </c>
      <c r="F87" s="18">
        <v>46229.538194444445</v>
      </c>
      <c r="G87" s="17" t="s">
        <v>96</v>
      </c>
    </row>
    <row r="88" ht="15.75" customHeight="1">
      <c r="A88" s="28" t="str">
        <f t="shared" si="3"/>
        <v>WO-085</v>
      </c>
      <c r="B88" s="8">
        <v>206.0</v>
      </c>
      <c r="C88" s="8" t="s">
        <v>14</v>
      </c>
      <c r="D88" s="17" t="s">
        <v>238</v>
      </c>
      <c r="E88" s="8" t="s">
        <v>55</v>
      </c>
      <c r="F88" s="13">
        <v>46229.60833333334</v>
      </c>
      <c r="G88" s="8" t="s">
        <v>96</v>
      </c>
    </row>
    <row r="89" ht="15.75" customHeight="1">
      <c r="A89" s="29" t="str">
        <f t="shared" si="3"/>
        <v>WO-086</v>
      </c>
      <c r="B89" s="17">
        <v>105.0</v>
      </c>
      <c r="C89" s="17" t="s">
        <v>78</v>
      </c>
      <c r="D89" s="17" t="s">
        <v>218</v>
      </c>
      <c r="E89" s="17" t="s">
        <v>48</v>
      </c>
      <c r="F89" s="18">
        <v>46229.61041666666</v>
      </c>
      <c r="G89" s="17" t="s">
        <v>96</v>
      </c>
    </row>
    <row r="90" ht="15.75" customHeight="1">
      <c r="A90" s="28" t="str">
        <f t="shared" si="3"/>
        <v>WO-087</v>
      </c>
      <c r="B90" s="8">
        <v>105.0</v>
      </c>
      <c r="C90" s="8" t="s">
        <v>137</v>
      </c>
      <c r="D90" s="17" t="s">
        <v>219</v>
      </c>
      <c r="E90" s="8" t="s">
        <v>48</v>
      </c>
      <c r="F90" s="13">
        <v>46229.61041666666</v>
      </c>
      <c r="G90" s="8" t="s">
        <v>96</v>
      </c>
    </row>
    <row r="91" ht="15.75" customHeight="1">
      <c r="A91" s="29" t="str">
        <f t="shared" si="3"/>
        <v>WO-088</v>
      </c>
      <c r="B91" s="17" t="s">
        <v>52</v>
      </c>
      <c r="C91" s="17" t="s">
        <v>105</v>
      </c>
      <c r="D91" s="17" t="s">
        <v>247</v>
      </c>
      <c r="E91" s="17" t="s">
        <v>55</v>
      </c>
      <c r="F91" s="18">
        <v>46230.68472222222</v>
      </c>
      <c r="G91" s="17" t="s">
        <v>96</v>
      </c>
    </row>
    <row r="92" ht="15.75" customHeight="1">
      <c r="A92" s="28" t="str">
        <f t="shared" si="3"/>
        <v>WO-089</v>
      </c>
      <c r="B92" s="8">
        <v>210.0</v>
      </c>
      <c r="C92" s="8" t="s">
        <v>105</v>
      </c>
      <c r="D92" s="8" t="s">
        <v>251</v>
      </c>
      <c r="E92" s="8" t="s">
        <v>55</v>
      </c>
      <c r="F92" s="13">
        <v>46233.57291666667</v>
      </c>
      <c r="G92" s="8" t="s">
        <v>96</v>
      </c>
    </row>
    <row r="93" ht="15.75" customHeight="1">
      <c r="A93" s="29" t="str">
        <f t="shared" si="3"/>
        <v>WO-090</v>
      </c>
      <c r="B93" s="17">
        <v>202.0</v>
      </c>
      <c r="C93" s="17" t="s">
        <v>105</v>
      </c>
      <c r="D93" s="8" t="s">
        <v>251</v>
      </c>
      <c r="E93" s="17" t="s">
        <v>55</v>
      </c>
      <c r="F93" s="18">
        <v>46233.59722222222</v>
      </c>
      <c r="G93" s="17" t="s">
        <v>96</v>
      </c>
    </row>
    <row r="94" ht="15.75" customHeight="1">
      <c r="A94" s="7" t="s">
        <v>257</v>
      </c>
      <c r="B94" s="8">
        <v>319.0</v>
      </c>
      <c r="C94" s="8" t="s">
        <v>14</v>
      </c>
      <c r="D94" s="8" t="s">
        <v>258</v>
      </c>
      <c r="E94" s="8" t="s">
        <v>45</v>
      </c>
      <c r="F94" s="56">
        <v>46220.60417824074</v>
      </c>
      <c r="G94" s="8" t="s">
        <v>100</v>
      </c>
    </row>
    <row r="95" ht="15.75" customHeight="1">
      <c r="A95" s="7" t="s">
        <v>259</v>
      </c>
      <c r="B95" s="8">
        <v>310.0</v>
      </c>
      <c r="C95" s="8" t="s">
        <v>116</v>
      </c>
      <c r="D95" s="8" t="s">
        <v>260</v>
      </c>
      <c r="E95" s="8" t="s">
        <v>48</v>
      </c>
      <c r="F95" s="13">
        <v>46222.59583333333</v>
      </c>
      <c r="G95" s="8" t="s">
        <v>100</v>
      </c>
      <c r="H95" s="57" t="s">
        <v>261</v>
      </c>
    </row>
    <row r="96" ht="15.75" customHeight="1">
      <c r="A96" s="29" t="str">
        <f t="shared" ref="A96:A459" si="4">IF(G96&lt;&gt;"","WO-"&amp;TEXT(ROW()-3,"000"),"")</f>
        <v>WO-093</v>
      </c>
      <c r="B96" s="17">
        <v>413.0</v>
      </c>
      <c r="C96" s="17" t="s">
        <v>116</v>
      </c>
      <c r="D96" s="8" t="s">
        <v>260</v>
      </c>
      <c r="E96" s="17" t="s">
        <v>48</v>
      </c>
      <c r="F96" s="18">
        <v>46222.66527777778</v>
      </c>
      <c r="G96" s="17" t="s">
        <v>100</v>
      </c>
    </row>
    <row r="97" ht="15.75" customHeight="1">
      <c r="A97" s="28" t="str">
        <f t="shared" si="4"/>
        <v>WO-094</v>
      </c>
      <c r="B97" s="8">
        <v>102.0</v>
      </c>
      <c r="C97" s="8" t="s">
        <v>105</v>
      </c>
      <c r="D97" s="8" t="s">
        <v>262</v>
      </c>
      <c r="E97" s="8" t="s">
        <v>55</v>
      </c>
      <c r="F97" s="13">
        <v>46227.535416666666</v>
      </c>
      <c r="G97" s="8" t="s">
        <v>100</v>
      </c>
    </row>
    <row r="98" ht="15.75" customHeight="1">
      <c r="A98" s="29" t="str">
        <f t="shared" si="4"/>
        <v>WO-095</v>
      </c>
      <c r="B98" s="17">
        <v>306.0</v>
      </c>
      <c r="C98" s="17" t="s">
        <v>60</v>
      </c>
      <c r="D98" s="17" t="s">
        <v>263</v>
      </c>
      <c r="E98" s="17" t="s">
        <v>59</v>
      </c>
      <c r="F98" s="58">
        <v>46234.694444444445</v>
      </c>
      <c r="G98" s="17" t="s">
        <v>96</v>
      </c>
    </row>
    <row r="99" ht="15.75" customHeight="1">
      <c r="A99" s="28" t="str">
        <f t="shared" si="4"/>
        <v>WO-096</v>
      </c>
      <c r="B99" s="8">
        <v>104.0</v>
      </c>
      <c r="C99" s="8" t="s">
        <v>67</v>
      </c>
      <c r="D99" s="8" t="s">
        <v>266</v>
      </c>
      <c r="E99" s="8" t="s">
        <v>59</v>
      </c>
      <c r="F99" s="62">
        <v>46234.0</v>
      </c>
      <c r="G99" s="8" t="s">
        <v>49</v>
      </c>
      <c r="H99" s="57" t="s">
        <v>270</v>
      </c>
    </row>
    <row r="100" ht="15.75" customHeight="1">
      <c r="A100" s="29" t="str">
        <f t="shared" si="4"/>
        <v/>
      </c>
      <c r="B100" s="17">
        <v>306.0</v>
      </c>
      <c r="C100" s="17" t="s">
        <v>67</v>
      </c>
      <c r="D100" s="17" t="s">
        <v>275</v>
      </c>
      <c r="E100" s="17" t="s">
        <v>55</v>
      </c>
      <c r="F100" s="63">
        <v>46234.916666666664</v>
      </c>
      <c r="G100" s="11"/>
      <c r="H100" s="57" t="s">
        <v>282</v>
      </c>
    </row>
    <row r="101" ht="15.75" customHeight="1">
      <c r="A101" s="28" t="str">
        <f t="shared" si="4"/>
        <v/>
      </c>
      <c r="B101" s="9"/>
      <c r="C101" s="9"/>
      <c r="D101" s="9"/>
      <c r="E101" s="14"/>
      <c r="F101" s="54"/>
      <c r="G101" s="9"/>
    </row>
    <row r="102" ht="15.75" customHeight="1">
      <c r="A102" s="29" t="str">
        <f t="shared" si="4"/>
        <v/>
      </c>
      <c r="B102" s="11"/>
      <c r="C102" s="11"/>
      <c r="D102" s="11"/>
      <c r="E102" s="21"/>
      <c r="F102" s="66"/>
      <c r="G102" s="11"/>
    </row>
    <row r="103" ht="15.75" customHeight="1">
      <c r="A103" s="28" t="str">
        <f t="shared" si="4"/>
        <v/>
      </c>
      <c r="B103" s="9"/>
      <c r="C103" s="9"/>
      <c r="D103" s="9"/>
      <c r="E103" s="14"/>
      <c r="F103" s="54"/>
      <c r="G103" s="9"/>
    </row>
    <row r="104" ht="15.75" customHeight="1">
      <c r="A104" s="29" t="str">
        <f t="shared" si="4"/>
        <v/>
      </c>
      <c r="B104" s="11"/>
      <c r="C104" s="11"/>
      <c r="D104" s="11"/>
      <c r="E104" s="21"/>
      <c r="F104" s="66"/>
      <c r="G104" s="11"/>
    </row>
    <row r="105" ht="15.75" customHeight="1">
      <c r="A105" s="28" t="str">
        <f t="shared" si="4"/>
        <v/>
      </c>
      <c r="B105" s="9"/>
      <c r="C105" s="9"/>
      <c r="D105" s="9"/>
      <c r="E105" s="14"/>
      <c r="F105" s="54"/>
      <c r="G105" s="9"/>
    </row>
    <row r="106" ht="15.75" customHeight="1">
      <c r="A106" s="29" t="str">
        <f t="shared" si="4"/>
        <v/>
      </c>
      <c r="B106" s="11"/>
      <c r="C106" s="11"/>
      <c r="D106" s="11"/>
      <c r="E106" s="21"/>
      <c r="F106" s="66"/>
      <c r="G106" s="11"/>
    </row>
    <row r="107" ht="15.75" customHeight="1">
      <c r="A107" s="28" t="str">
        <f t="shared" si="4"/>
        <v/>
      </c>
      <c r="B107" s="9"/>
      <c r="C107" s="9"/>
      <c r="D107" s="9"/>
      <c r="E107" s="14"/>
      <c r="F107" s="54"/>
      <c r="G107" s="9"/>
    </row>
    <row r="108" ht="15.75" customHeight="1">
      <c r="A108" s="29" t="str">
        <f t="shared" si="4"/>
        <v/>
      </c>
      <c r="B108" s="11"/>
      <c r="C108" s="11"/>
      <c r="D108" s="11"/>
      <c r="E108" s="21"/>
      <c r="F108" s="66"/>
      <c r="G108" s="11"/>
    </row>
    <row r="109" ht="15.75" customHeight="1">
      <c r="A109" s="28" t="str">
        <f t="shared" si="4"/>
        <v/>
      </c>
      <c r="B109" s="9"/>
      <c r="C109" s="9"/>
      <c r="D109" s="9"/>
      <c r="E109" s="14"/>
      <c r="F109" s="54"/>
      <c r="G109" s="9"/>
    </row>
    <row r="110" ht="15.75" customHeight="1">
      <c r="A110" s="29" t="str">
        <f t="shared" si="4"/>
        <v/>
      </c>
      <c r="B110" s="11"/>
      <c r="C110" s="11"/>
      <c r="D110" s="11"/>
      <c r="E110" s="21"/>
      <c r="F110" s="66"/>
      <c r="G110" s="11"/>
    </row>
    <row r="111" ht="15.75" customHeight="1">
      <c r="A111" s="28" t="str">
        <f t="shared" si="4"/>
        <v/>
      </c>
      <c r="B111" s="9"/>
      <c r="C111" s="9"/>
      <c r="D111" s="9"/>
      <c r="E111" s="14"/>
      <c r="F111" s="54"/>
      <c r="G111" s="9"/>
    </row>
    <row r="112" ht="15.75" customHeight="1">
      <c r="A112" s="29" t="str">
        <f t="shared" si="4"/>
        <v/>
      </c>
      <c r="B112" s="11"/>
      <c r="C112" s="11"/>
      <c r="D112" s="11"/>
      <c r="E112" s="21"/>
      <c r="F112" s="66"/>
      <c r="G112" s="11"/>
    </row>
    <row r="113" ht="15.75" customHeight="1">
      <c r="A113" s="28" t="str">
        <f t="shared" si="4"/>
        <v/>
      </c>
      <c r="B113" s="9"/>
      <c r="C113" s="9"/>
      <c r="D113" s="9"/>
      <c r="E113" s="14"/>
      <c r="F113" s="54"/>
      <c r="G113" s="9"/>
    </row>
    <row r="114" ht="15.75" customHeight="1">
      <c r="A114" s="29" t="str">
        <f t="shared" si="4"/>
        <v/>
      </c>
      <c r="B114" s="11"/>
      <c r="C114" s="11"/>
      <c r="D114" s="11"/>
      <c r="E114" s="21"/>
      <c r="F114" s="66"/>
      <c r="G114" s="11"/>
    </row>
    <row r="115" ht="15.75" customHeight="1">
      <c r="A115" s="28" t="str">
        <f t="shared" si="4"/>
        <v/>
      </c>
      <c r="B115" s="9"/>
      <c r="C115" s="9"/>
      <c r="D115" s="9"/>
      <c r="E115" s="14"/>
      <c r="F115" s="54"/>
      <c r="G115" s="9"/>
    </row>
    <row r="116" ht="15.75" customHeight="1">
      <c r="A116" s="29" t="str">
        <f t="shared" si="4"/>
        <v/>
      </c>
      <c r="B116" s="11"/>
      <c r="C116" s="11"/>
      <c r="D116" s="11"/>
      <c r="E116" s="21"/>
      <c r="F116" s="66"/>
      <c r="G116" s="11"/>
    </row>
    <row r="117" ht="15.75" customHeight="1">
      <c r="A117" s="28" t="str">
        <f t="shared" si="4"/>
        <v/>
      </c>
      <c r="B117" s="9"/>
      <c r="C117" s="9"/>
      <c r="D117" s="9"/>
      <c r="E117" s="14"/>
      <c r="F117" s="54"/>
      <c r="G117" s="9"/>
    </row>
    <row r="118" ht="15.75" customHeight="1">
      <c r="A118" s="29" t="str">
        <f t="shared" si="4"/>
        <v/>
      </c>
      <c r="B118" s="11"/>
      <c r="C118" s="11"/>
      <c r="D118" s="11"/>
      <c r="E118" s="21"/>
      <c r="F118" s="66"/>
      <c r="G118" s="11"/>
    </row>
    <row r="119" ht="15.75" customHeight="1">
      <c r="A119" s="28" t="str">
        <f t="shared" si="4"/>
        <v/>
      </c>
      <c r="B119" s="9"/>
      <c r="C119" s="9"/>
      <c r="D119" s="9"/>
      <c r="E119" s="14"/>
      <c r="F119" s="54"/>
      <c r="G119" s="9"/>
    </row>
    <row r="120" ht="15.75" customHeight="1">
      <c r="A120" s="29" t="str">
        <f t="shared" si="4"/>
        <v/>
      </c>
      <c r="B120" s="11"/>
      <c r="C120" s="11"/>
      <c r="D120" s="11"/>
      <c r="E120" s="21"/>
      <c r="F120" s="66"/>
      <c r="G120" s="11"/>
    </row>
    <row r="121" ht="15.75" customHeight="1">
      <c r="A121" s="28" t="str">
        <f t="shared" si="4"/>
        <v/>
      </c>
      <c r="B121" s="9"/>
      <c r="C121" s="9"/>
      <c r="D121" s="9"/>
      <c r="E121" s="14"/>
      <c r="F121" s="54"/>
      <c r="G121" s="9"/>
    </row>
    <row r="122" ht="15.75" customHeight="1">
      <c r="A122" s="29" t="str">
        <f t="shared" si="4"/>
        <v/>
      </c>
      <c r="B122" s="11"/>
      <c r="C122" s="11"/>
      <c r="D122" s="11"/>
      <c r="E122" s="21"/>
      <c r="F122" s="66"/>
      <c r="G122" s="11"/>
    </row>
    <row r="123" ht="15.75" customHeight="1">
      <c r="A123" s="28" t="str">
        <f t="shared" si="4"/>
        <v/>
      </c>
      <c r="B123" s="9"/>
      <c r="C123" s="9"/>
      <c r="D123" s="9"/>
      <c r="E123" s="14"/>
      <c r="F123" s="54"/>
      <c r="G123" s="9"/>
    </row>
    <row r="124" ht="15.75" customHeight="1">
      <c r="A124" s="29" t="str">
        <f t="shared" si="4"/>
        <v/>
      </c>
      <c r="B124" s="11"/>
      <c r="C124" s="11"/>
      <c r="D124" s="11"/>
      <c r="E124" s="21"/>
      <c r="F124" s="66"/>
      <c r="G124" s="11"/>
    </row>
    <row r="125" ht="15.75" customHeight="1">
      <c r="A125" s="28" t="str">
        <f t="shared" si="4"/>
        <v/>
      </c>
      <c r="B125" s="9"/>
      <c r="C125" s="9"/>
      <c r="D125" s="9"/>
      <c r="E125" s="14"/>
      <c r="F125" s="54"/>
      <c r="G125" s="9"/>
    </row>
    <row r="126" ht="15.75" customHeight="1">
      <c r="A126" s="29" t="str">
        <f t="shared" si="4"/>
        <v/>
      </c>
      <c r="B126" s="11"/>
      <c r="C126" s="11"/>
      <c r="D126" s="11"/>
      <c r="E126" s="21"/>
      <c r="F126" s="66"/>
      <c r="G126" s="11"/>
    </row>
    <row r="127" ht="15.75" customHeight="1">
      <c r="A127" s="28" t="str">
        <f t="shared" si="4"/>
        <v/>
      </c>
      <c r="B127" s="9"/>
      <c r="C127" s="9"/>
      <c r="D127" s="9"/>
      <c r="E127" s="14"/>
      <c r="F127" s="54"/>
      <c r="G127" s="9"/>
    </row>
    <row r="128" ht="15.75" customHeight="1">
      <c r="A128" s="29" t="str">
        <f t="shared" si="4"/>
        <v/>
      </c>
      <c r="B128" s="11"/>
      <c r="C128" s="11"/>
      <c r="D128" s="11"/>
      <c r="E128" s="21"/>
      <c r="F128" s="66"/>
      <c r="G128" s="11"/>
    </row>
    <row r="129" ht="15.75" customHeight="1">
      <c r="A129" s="28" t="str">
        <f t="shared" si="4"/>
        <v/>
      </c>
      <c r="B129" s="9"/>
      <c r="C129" s="9"/>
      <c r="D129" s="9"/>
      <c r="E129" s="14"/>
      <c r="F129" s="54"/>
      <c r="G129" s="9"/>
    </row>
    <row r="130" ht="15.75" customHeight="1">
      <c r="A130" s="29" t="str">
        <f t="shared" si="4"/>
        <v/>
      </c>
      <c r="B130" s="11"/>
      <c r="C130" s="11"/>
      <c r="D130" s="11"/>
      <c r="E130" s="21"/>
      <c r="F130" s="66"/>
      <c r="G130" s="11"/>
    </row>
    <row r="131" ht="15.75" customHeight="1">
      <c r="A131" s="28" t="str">
        <f t="shared" si="4"/>
        <v/>
      </c>
      <c r="B131" s="9"/>
      <c r="C131" s="9"/>
      <c r="D131" s="9"/>
      <c r="E131" s="14"/>
      <c r="F131" s="54"/>
      <c r="G131" s="9"/>
    </row>
    <row r="132" ht="15.75" customHeight="1">
      <c r="A132" s="29" t="str">
        <f t="shared" si="4"/>
        <v/>
      </c>
      <c r="B132" s="11"/>
      <c r="C132" s="11"/>
      <c r="D132" s="11"/>
      <c r="E132" s="21"/>
      <c r="F132" s="66"/>
      <c r="G132" s="11"/>
    </row>
    <row r="133" ht="15.75" customHeight="1">
      <c r="A133" s="28" t="str">
        <f t="shared" si="4"/>
        <v/>
      </c>
      <c r="B133" s="9"/>
      <c r="C133" s="9"/>
      <c r="D133" s="9"/>
      <c r="E133" s="14"/>
      <c r="F133" s="54"/>
      <c r="G133" s="9"/>
    </row>
    <row r="134" ht="15.75" customHeight="1">
      <c r="A134" s="29" t="str">
        <f t="shared" si="4"/>
        <v/>
      </c>
      <c r="B134" s="11"/>
      <c r="C134" s="11"/>
      <c r="D134" s="11"/>
      <c r="E134" s="21"/>
      <c r="F134" s="66"/>
      <c r="G134" s="11"/>
    </row>
    <row r="135" ht="15.75" customHeight="1">
      <c r="A135" s="28" t="str">
        <f t="shared" si="4"/>
        <v/>
      </c>
      <c r="B135" s="9"/>
      <c r="C135" s="9"/>
      <c r="D135" s="9"/>
      <c r="E135" s="14"/>
      <c r="F135" s="54"/>
      <c r="G135" s="9"/>
    </row>
    <row r="136" ht="15.75" customHeight="1">
      <c r="A136" s="29" t="str">
        <f t="shared" si="4"/>
        <v/>
      </c>
      <c r="B136" s="11"/>
      <c r="C136" s="11"/>
      <c r="D136" s="11"/>
      <c r="E136" s="21"/>
      <c r="F136" s="66"/>
      <c r="G136" s="11"/>
    </row>
    <row r="137" ht="15.75" customHeight="1">
      <c r="A137" s="28" t="str">
        <f t="shared" si="4"/>
        <v/>
      </c>
      <c r="B137" s="9"/>
      <c r="C137" s="9"/>
      <c r="D137" s="9"/>
      <c r="E137" s="14"/>
      <c r="F137" s="54"/>
      <c r="G137" s="9"/>
    </row>
    <row r="138" ht="15.75" customHeight="1">
      <c r="A138" s="29" t="str">
        <f t="shared" si="4"/>
        <v/>
      </c>
      <c r="B138" s="11"/>
      <c r="C138" s="11"/>
      <c r="D138" s="11"/>
      <c r="E138" s="21"/>
      <c r="F138" s="66"/>
      <c r="G138" s="11"/>
    </row>
    <row r="139" ht="15.75" customHeight="1">
      <c r="A139" s="28" t="str">
        <f t="shared" si="4"/>
        <v/>
      </c>
      <c r="B139" s="9"/>
      <c r="C139" s="9"/>
      <c r="D139" s="9"/>
      <c r="E139" s="14"/>
      <c r="F139" s="54"/>
      <c r="G139" s="9"/>
    </row>
    <row r="140" ht="15.75" customHeight="1">
      <c r="A140" s="29" t="str">
        <f t="shared" si="4"/>
        <v/>
      </c>
      <c r="B140" s="11"/>
      <c r="C140" s="11"/>
      <c r="D140" s="11"/>
      <c r="E140" s="21"/>
      <c r="F140" s="66"/>
      <c r="G140" s="11"/>
    </row>
    <row r="141" ht="15.75" customHeight="1">
      <c r="A141" s="28" t="str">
        <f t="shared" si="4"/>
        <v/>
      </c>
      <c r="B141" s="9"/>
      <c r="C141" s="9"/>
      <c r="D141" s="9"/>
      <c r="E141" s="14"/>
      <c r="F141" s="54"/>
      <c r="G141" s="9"/>
    </row>
    <row r="142" ht="15.75" customHeight="1">
      <c r="A142" s="29" t="str">
        <f t="shared" si="4"/>
        <v/>
      </c>
      <c r="B142" s="11"/>
      <c r="C142" s="11"/>
      <c r="D142" s="11"/>
      <c r="E142" s="21"/>
      <c r="F142" s="66"/>
      <c r="G142" s="11"/>
    </row>
    <row r="143" ht="15.75" customHeight="1">
      <c r="A143" s="28" t="str">
        <f t="shared" si="4"/>
        <v/>
      </c>
      <c r="B143" s="9"/>
      <c r="C143" s="9"/>
      <c r="D143" s="9"/>
      <c r="E143" s="14"/>
      <c r="F143" s="54"/>
      <c r="G143" s="9"/>
    </row>
    <row r="144" ht="15.75" customHeight="1">
      <c r="A144" s="29" t="str">
        <f t="shared" si="4"/>
        <v/>
      </c>
      <c r="B144" s="11"/>
      <c r="C144" s="11"/>
      <c r="D144" s="11"/>
      <c r="E144" s="21"/>
      <c r="F144" s="66"/>
      <c r="G144" s="11"/>
    </row>
    <row r="145" ht="15.75" customHeight="1">
      <c r="A145" s="28" t="str">
        <f t="shared" si="4"/>
        <v/>
      </c>
      <c r="B145" s="9"/>
      <c r="C145" s="9"/>
      <c r="D145" s="9"/>
      <c r="E145" s="14"/>
      <c r="F145" s="54"/>
      <c r="G145" s="9"/>
    </row>
    <row r="146" ht="15.75" customHeight="1">
      <c r="A146" s="29" t="str">
        <f t="shared" si="4"/>
        <v/>
      </c>
      <c r="B146" s="11"/>
      <c r="C146" s="11"/>
      <c r="D146" s="11"/>
      <c r="E146" s="21"/>
      <c r="F146" s="66"/>
      <c r="G146" s="11"/>
    </row>
    <row r="147" ht="15.75" customHeight="1">
      <c r="A147" s="28" t="str">
        <f t="shared" si="4"/>
        <v/>
      </c>
      <c r="B147" s="9"/>
      <c r="C147" s="9"/>
      <c r="D147" s="9"/>
      <c r="E147" s="14"/>
      <c r="F147" s="54"/>
      <c r="G147" s="9"/>
    </row>
    <row r="148" ht="15.75" customHeight="1">
      <c r="A148" s="29" t="str">
        <f t="shared" si="4"/>
        <v/>
      </c>
      <c r="B148" s="11"/>
      <c r="C148" s="11"/>
      <c r="D148" s="11"/>
      <c r="E148" s="21"/>
      <c r="F148" s="66"/>
      <c r="G148" s="11"/>
    </row>
    <row r="149" ht="15.75" customHeight="1">
      <c r="A149" s="28" t="str">
        <f t="shared" si="4"/>
        <v/>
      </c>
      <c r="B149" s="9"/>
      <c r="C149" s="9"/>
      <c r="D149" s="9"/>
      <c r="E149" s="14"/>
      <c r="F149" s="54"/>
      <c r="G149" s="9"/>
    </row>
    <row r="150" ht="15.75" customHeight="1">
      <c r="A150" s="29" t="str">
        <f t="shared" si="4"/>
        <v/>
      </c>
      <c r="B150" s="11"/>
      <c r="C150" s="11"/>
      <c r="D150" s="11"/>
      <c r="E150" s="21"/>
      <c r="F150" s="66"/>
      <c r="G150" s="11"/>
    </row>
    <row r="151" ht="15.75" customHeight="1">
      <c r="A151" s="28" t="str">
        <f t="shared" si="4"/>
        <v/>
      </c>
      <c r="B151" s="9"/>
      <c r="C151" s="9"/>
      <c r="D151" s="9"/>
      <c r="E151" s="14"/>
      <c r="F151" s="54"/>
      <c r="G151" s="9"/>
    </row>
    <row r="152" ht="15.75" customHeight="1">
      <c r="A152" s="29" t="str">
        <f t="shared" si="4"/>
        <v/>
      </c>
      <c r="B152" s="11"/>
      <c r="C152" s="11"/>
      <c r="D152" s="11"/>
      <c r="E152" s="21"/>
      <c r="F152" s="66"/>
      <c r="G152" s="11"/>
    </row>
    <row r="153" ht="15.75" customHeight="1">
      <c r="A153" s="28" t="str">
        <f t="shared" si="4"/>
        <v/>
      </c>
      <c r="B153" s="9"/>
      <c r="C153" s="9"/>
      <c r="D153" s="9"/>
      <c r="E153" s="14"/>
      <c r="F153" s="54"/>
      <c r="G153" s="9"/>
    </row>
    <row r="154" ht="15.75" customHeight="1">
      <c r="A154" s="29" t="str">
        <f t="shared" si="4"/>
        <v/>
      </c>
      <c r="B154" s="11"/>
      <c r="C154" s="11"/>
      <c r="D154" s="11"/>
      <c r="E154" s="21"/>
      <c r="F154" s="66"/>
      <c r="G154" s="11"/>
    </row>
    <row r="155" ht="15.75" customHeight="1">
      <c r="A155" s="28" t="str">
        <f t="shared" si="4"/>
        <v/>
      </c>
      <c r="B155" s="9"/>
      <c r="C155" s="9"/>
      <c r="D155" s="9"/>
      <c r="E155" s="14"/>
      <c r="F155" s="54"/>
      <c r="G155" s="9"/>
    </row>
    <row r="156" ht="15.75" customHeight="1">
      <c r="A156" s="29" t="str">
        <f t="shared" si="4"/>
        <v/>
      </c>
      <c r="B156" s="11"/>
      <c r="C156" s="11"/>
      <c r="D156" s="11"/>
      <c r="E156" s="21"/>
      <c r="F156" s="66"/>
      <c r="G156" s="11"/>
    </row>
    <row r="157" ht="15.75" customHeight="1">
      <c r="A157" s="28" t="str">
        <f t="shared" si="4"/>
        <v/>
      </c>
      <c r="B157" s="9"/>
      <c r="C157" s="9"/>
      <c r="D157" s="9"/>
      <c r="E157" s="14"/>
      <c r="F157" s="54"/>
      <c r="G157" s="9"/>
    </row>
    <row r="158" ht="15.75" customHeight="1">
      <c r="A158" s="29" t="str">
        <f t="shared" si="4"/>
        <v/>
      </c>
      <c r="B158" s="11"/>
      <c r="C158" s="11"/>
      <c r="D158" s="11"/>
      <c r="E158" s="21"/>
      <c r="F158" s="66"/>
      <c r="G158" s="11"/>
    </row>
    <row r="159" ht="15.75" customHeight="1">
      <c r="A159" s="28" t="str">
        <f t="shared" si="4"/>
        <v/>
      </c>
      <c r="B159" s="9"/>
      <c r="C159" s="9"/>
      <c r="D159" s="9"/>
      <c r="E159" s="14"/>
      <c r="F159" s="54"/>
      <c r="G159" s="9"/>
    </row>
    <row r="160" ht="15.75" customHeight="1">
      <c r="A160" s="29" t="str">
        <f t="shared" si="4"/>
        <v/>
      </c>
      <c r="B160" s="11"/>
      <c r="C160" s="11"/>
      <c r="D160" s="11"/>
      <c r="E160" s="21"/>
      <c r="F160" s="66"/>
      <c r="G160" s="11"/>
    </row>
    <row r="161" ht="15.75" customHeight="1">
      <c r="A161" s="28" t="str">
        <f t="shared" si="4"/>
        <v/>
      </c>
      <c r="B161" s="9"/>
      <c r="C161" s="9"/>
      <c r="D161" s="9"/>
      <c r="E161" s="14"/>
      <c r="F161" s="54"/>
      <c r="G161" s="9"/>
    </row>
    <row r="162" ht="15.75" customHeight="1">
      <c r="A162" s="29" t="str">
        <f t="shared" si="4"/>
        <v/>
      </c>
      <c r="B162" s="11"/>
      <c r="C162" s="11"/>
      <c r="D162" s="11"/>
      <c r="E162" s="21"/>
      <c r="F162" s="66"/>
      <c r="G162" s="11"/>
    </row>
    <row r="163" ht="15.75" customHeight="1">
      <c r="A163" s="28" t="str">
        <f t="shared" si="4"/>
        <v/>
      </c>
      <c r="B163" s="9"/>
      <c r="C163" s="9"/>
      <c r="D163" s="9"/>
      <c r="E163" s="14"/>
      <c r="F163" s="54"/>
      <c r="G163" s="9"/>
    </row>
    <row r="164" ht="15.75" customHeight="1">
      <c r="A164" s="29" t="str">
        <f t="shared" si="4"/>
        <v/>
      </c>
      <c r="B164" s="11"/>
      <c r="C164" s="11"/>
      <c r="D164" s="11"/>
      <c r="E164" s="21"/>
      <c r="F164" s="66"/>
      <c r="G164" s="11"/>
    </row>
    <row r="165" ht="15.75" customHeight="1">
      <c r="A165" s="28" t="str">
        <f t="shared" si="4"/>
        <v/>
      </c>
      <c r="B165" s="9"/>
      <c r="C165" s="9"/>
      <c r="D165" s="9"/>
      <c r="E165" s="14"/>
      <c r="F165" s="54"/>
      <c r="G165" s="9"/>
    </row>
    <row r="166" ht="15.75" customHeight="1">
      <c r="A166" s="29" t="str">
        <f t="shared" si="4"/>
        <v/>
      </c>
      <c r="B166" s="11"/>
      <c r="C166" s="11"/>
      <c r="D166" s="11"/>
      <c r="E166" s="21"/>
      <c r="F166" s="66"/>
      <c r="G166" s="11"/>
    </row>
    <row r="167" ht="15.75" customHeight="1">
      <c r="A167" s="28" t="str">
        <f t="shared" si="4"/>
        <v/>
      </c>
      <c r="B167" s="9"/>
      <c r="C167" s="9"/>
      <c r="D167" s="9"/>
      <c r="E167" s="14"/>
      <c r="F167" s="54"/>
      <c r="G167" s="9"/>
    </row>
    <row r="168" ht="15.75" customHeight="1">
      <c r="A168" s="29" t="str">
        <f t="shared" si="4"/>
        <v/>
      </c>
      <c r="B168" s="11"/>
      <c r="C168" s="11"/>
      <c r="D168" s="11"/>
      <c r="E168" s="21"/>
      <c r="F168" s="66"/>
      <c r="G168" s="11"/>
    </row>
    <row r="169" ht="15.75" customHeight="1">
      <c r="A169" s="28" t="str">
        <f t="shared" si="4"/>
        <v/>
      </c>
      <c r="B169" s="9"/>
      <c r="C169" s="9"/>
      <c r="D169" s="9"/>
      <c r="E169" s="14"/>
      <c r="F169" s="54"/>
      <c r="G169" s="9"/>
    </row>
    <row r="170" ht="15.75" customHeight="1">
      <c r="A170" s="29" t="str">
        <f t="shared" si="4"/>
        <v/>
      </c>
      <c r="B170" s="11"/>
      <c r="C170" s="11"/>
      <c r="D170" s="11"/>
      <c r="E170" s="21"/>
      <c r="F170" s="66"/>
      <c r="G170" s="11"/>
    </row>
    <row r="171" ht="15.75" customHeight="1">
      <c r="A171" s="28" t="str">
        <f t="shared" si="4"/>
        <v/>
      </c>
      <c r="B171" s="9"/>
      <c r="C171" s="9"/>
      <c r="D171" s="9"/>
      <c r="E171" s="14"/>
      <c r="F171" s="54"/>
      <c r="G171" s="9"/>
    </row>
    <row r="172" ht="15.75" customHeight="1">
      <c r="A172" s="29" t="str">
        <f t="shared" si="4"/>
        <v/>
      </c>
      <c r="B172" s="11"/>
      <c r="C172" s="11"/>
      <c r="D172" s="11"/>
      <c r="E172" s="21"/>
      <c r="F172" s="66"/>
      <c r="G172" s="11"/>
    </row>
    <row r="173" ht="15.75" customHeight="1">
      <c r="A173" s="28" t="str">
        <f t="shared" si="4"/>
        <v/>
      </c>
      <c r="B173" s="9"/>
      <c r="C173" s="9"/>
      <c r="D173" s="9"/>
      <c r="E173" s="14"/>
      <c r="F173" s="54"/>
      <c r="G173" s="9"/>
    </row>
    <row r="174" ht="15.75" customHeight="1">
      <c r="A174" s="29" t="str">
        <f t="shared" si="4"/>
        <v/>
      </c>
      <c r="B174" s="11"/>
      <c r="C174" s="11"/>
      <c r="D174" s="11"/>
      <c r="E174" s="21"/>
      <c r="F174" s="66"/>
      <c r="G174" s="11"/>
    </row>
    <row r="175" ht="15.75" customHeight="1">
      <c r="A175" s="28" t="str">
        <f t="shared" si="4"/>
        <v/>
      </c>
      <c r="B175" s="9"/>
      <c r="C175" s="9"/>
      <c r="D175" s="9"/>
      <c r="E175" s="14"/>
      <c r="F175" s="54"/>
      <c r="G175" s="9"/>
    </row>
    <row r="176" ht="15.75" customHeight="1">
      <c r="A176" s="29" t="str">
        <f t="shared" si="4"/>
        <v/>
      </c>
      <c r="B176" s="11"/>
      <c r="C176" s="11"/>
      <c r="D176" s="11"/>
      <c r="E176" s="21"/>
      <c r="F176" s="66"/>
      <c r="G176" s="11"/>
    </row>
    <row r="177" ht="15.75" customHeight="1">
      <c r="A177" s="28" t="str">
        <f t="shared" si="4"/>
        <v/>
      </c>
      <c r="B177" s="9"/>
      <c r="C177" s="9"/>
      <c r="D177" s="9"/>
      <c r="E177" s="14"/>
      <c r="F177" s="54"/>
      <c r="G177" s="9"/>
    </row>
    <row r="178" ht="15.75" customHeight="1">
      <c r="A178" s="29" t="str">
        <f t="shared" si="4"/>
        <v/>
      </c>
      <c r="B178" s="11"/>
      <c r="C178" s="11"/>
      <c r="D178" s="11"/>
      <c r="E178" s="21"/>
      <c r="F178" s="66"/>
      <c r="G178" s="11"/>
    </row>
    <row r="179" ht="15.75" customHeight="1">
      <c r="A179" s="28" t="str">
        <f t="shared" si="4"/>
        <v/>
      </c>
      <c r="B179" s="9"/>
      <c r="C179" s="9"/>
      <c r="D179" s="9"/>
      <c r="E179" s="14"/>
      <c r="F179" s="54"/>
      <c r="G179" s="9"/>
    </row>
    <row r="180" ht="15.75" customHeight="1">
      <c r="A180" s="29" t="str">
        <f t="shared" si="4"/>
        <v/>
      </c>
      <c r="B180" s="11"/>
      <c r="C180" s="11"/>
      <c r="D180" s="11"/>
      <c r="E180" s="21"/>
      <c r="F180" s="66"/>
      <c r="G180" s="11"/>
    </row>
    <row r="181" ht="15.75" customHeight="1">
      <c r="A181" s="28" t="str">
        <f t="shared" si="4"/>
        <v/>
      </c>
      <c r="B181" s="9"/>
      <c r="C181" s="9"/>
      <c r="D181" s="9"/>
      <c r="E181" s="14"/>
      <c r="F181" s="54"/>
      <c r="G181" s="9"/>
    </row>
    <row r="182" ht="15.75" customHeight="1">
      <c r="A182" s="29" t="str">
        <f t="shared" si="4"/>
        <v/>
      </c>
      <c r="B182" s="11"/>
      <c r="C182" s="11"/>
      <c r="D182" s="11"/>
      <c r="E182" s="21"/>
      <c r="F182" s="66"/>
      <c r="G182" s="11"/>
    </row>
    <row r="183" ht="15.75" customHeight="1">
      <c r="A183" s="28" t="str">
        <f t="shared" si="4"/>
        <v/>
      </c>
      <c r="B183" s="9"/>
      <c r="C183" s="9"/>
      <c r="D183" s="9"/>
      <c r="E183" s="14"/>
      <c r="F183" s="54"/>
      <c r="G183" s="9"/>
    </row>
    <row r="184" ht="15.75" customHeight="1">
      <c r="A184" s="29" t="str">
        <f t="shared" si="4"/>
        <v/>
      </c>
      <c r="B184" s="11"/>
      <c r="C184" s="11"/>
      <c r="D184" s="11"/>
      <c r="E184" s="21"/>
      <c r="F184" s="66"/>
      <c r="G184" s="11"/>
    </row>
    <row r="185" ht="15.75" customHeight="1">
      <c r="A185" s="28" t="str">
        <f t="shared" si="4"/>
        <v/>
      </c>
      <c r="B185" s="9"/>
      <c r="C185" s="9"/>
      <c r="D185" s="9"/>
      <c r="E185" s="14"/>
      <c r="F185" s="54"/>
      <c r="G185" s="9"/>
    </row>
    <row r="186" ht="15.75" customHeight="1">
      <c r="A186" s="29" t="str">
        <f t="shared" si="4"/>
        <v/>
      </c>
      <c r="B186" s="11"/>
      <c r="C186" s="11"/>
      <c r="D186" s="11"/>
      <c r="E186" s="21"/>
      <c r="F186" s="66"/>
      <c r="G186" s="11"/>
    </row>
    <row r="187" ht="15.75" customHeight="1">
      <c r="A187" s="28" t="str">
        <f t="shared" si="4"/>
        <v/>
      </c>
      <c r="B187" s="9"/>
      <c r="C187" s="9"/>
      <c r="D187" s="9"/>
      <c r="E187" s="14"/>
      <c r="F187" s="54"/>
      <c r="G187" s="9"/>
    </row>
    <row r="188" ht="15.75" customHeight="1">
      <c r="A188" s="29" t="str">
        <f t="shared" si="4"/>
        <v/>
      </c>
      <c r="B188" s="11"/>
      <c r="C188" s="11"/>
      <c r="D188" s="11"/>
      <c r="E188" s="21"/>
      <c r="F188" s="66"/>
      <c r="G188" s="11"/>
    </row>
    <row r="189" ht="15.75" customHeight="1">
      <c r="A189" s="28" t="str">
        <f t="shared" si="4"/>
        <v/>
      </c>
      <c r="B189" s="9"/>
      <c r="C189" s="9"/>
      <c r="D189" s="9"/>
      <c r="E189" s="14"/>
      <c r="F189" s="54"/>
      <c r="G189" s="9"/>
    </row>
    <row r="190" ht="15.75" customHeight="1">
      <c r="A190" s="29" t="str">
        <f t="shared" si="4"/>
        <v/>
      </c>
      <c r="B190" s="11"/>
      <c r="C190" s="11"/>
      <c r="D190" s="11"/>
      <c r="E190" s="21"/>
      <c r="F190" s="66"/>
      <c r="G190" s="11"/>
    </row>
    <row r="191" ht="15.75" customHeight="1">
      <c r="A191" s="28" t="str">
        <f t="shared" si="4"/>
        <v/>
      </c>
      <c r="B191" s="9"/>
      <c r="C191" s="9"/>
      <c r="D191" s="9"/>
      <c r="E191" s="14"/>
      <c r="F191" s="54"/>
      <c r="G191" s="9"/>
    </row>
    <row r="192" ht="15.75" customHeight="1">
      <c r="A192" s="29" t="str">
        <f t="shared" si="4"/>
        <v/>
      </c>
      <c r="B192" s="11"/>
      <c r="C192" s="11"/>
      <c r="D192" s="11"/>
      <c r="E192" s="21"/>
      <c r="F192" s="66"/>
      <c r="G192" s="11"/>
    </row>
    <row r="193" ht="15.75" customHeight="1">
      <c r="A193" s="28" t="str">
        <f t="shared" si="4"/>
        <v/>
      </c>
      <c r="B193" s="9"/>
      <c r="C193" s="9"/>
      <c r="D193" s="9"/>
      <c r="E193" s="14"/>
      <c r="F193" s="54"/>
      <c r="G193" s="9"/>
    </row>
    <row r="194" ht="15.75" customHeight="1">
      <c r="A194" s="29" t="str">
        <f t="shared" si="4"/>
        <v/>
      </c>
      <c r="B194" s="11"/>
      <c r="C194" s="11"/>
      <c r="D194" s="11"/>
      <c r="E194" s="21"/>
      <c r="F194" s="66"/>
      <c r="G194" s="11"/>
    </row>
    <row r="195" ht="15.75" customHeight="1">
      <c r="A195" s="28" t="str">
        <f t="shared" si="4"/>
        <v/>
      </c>
      <c r="B195" s="9"/>
      <c r="C195" s="9"/>
      <c r="D195" s="9"/>
      <c r="E195" s="14"/>
      <c r="F195" s="54"/>
      <c r="G195" s="9"/>
    </row>
    <row r="196" ht="15.75" customHeight="1">
      <c r="A196" s="29" t="str">
        <f t="shared" si="4"/>
        <v/>
      </c>
      <c r="B196" s="11"/>
      <c r="C196" s="11"/>
      <c r="D196" s="11"/>
      <c r="E196" s="21"/>
      <c r="F196" s="66"/>
      <c r="G196" s="11"/>
    </row>
    <row r="197" ht="15.75" customHeight="1">
      <c r="A197" s="28" t="str">
        <f t="shared" si="4"/>
        <v/>
      </c>
      <c r="B197" s="9"/>
      <c r="C197" s="9"/>
      <c r="D197" s="9"/>
      <c r="E197" s="14"/>
      <c r="F197" s="54"/>
      <c r="G197" s="9"/>
    </row>
    <row r="198" ht="15.75" customHeight="1">
      <c r="A198" s="29" t="str">
        <f t="shared" si="4"/>
        <v/>
      </c>
      <c r="B198" s="11"/>
      <c r="C198" s="11"/>
      <c r="D198" s="11"/>
      <c r="E198" s="21"/>
      <c r="F198" s="66"/>
      <c r="G198" s="11"/>
    </row>
    <row r="199" ht="15.75" customHeight="1">
      <c r="A199" s="28" t="str">
        <f t="shared" si="4"/>
        <v/>
      </c>
      <c r="B199" s="9"/>
      <c r="C199" s="9"/>
      <c r="D199" s="9"/>
      <c r="E199" s="14"/>
      <c r="F199" s="54"/>
      <c r="G199" s="9"/>
    </row>
    <row r="200" ht="15.75" customHeight="1">
      <c r="A200" s="29" t="str">
        <f t="shared" si="4"/>
        <v/>
      </c>
      <c r="B200" s="11"/>
      <c r="C200" s="11"/>
      <c r="D200" s="11"/>
      <c r="E200" s="21"/>
      <c r="F200" s="66"/>
      <c r="G200" s="11"/>
    </row>
    <row r="201" ht="15.75" customHeight="1">
      <c r="A201" s="28" t="str">
        <f t="shared" si="4"/>
        <v/>
      </c>
      <c r="B201" s="9"/>
      <c r="C201" s="9"/>
      <c r="D201" s="9"/>
      <c r="E201" s="14"/>
      <c r="F201" s="54"/>
      <c r="G201" s="9"/>
    </row>
    <row r="202" ht="15.75" customHeight="1">
      <c r="A202" s="29" t="str">
        <f t="shared" si="4"/>
        <v/>
      </c>
      <c r="B202" s="11"/>
      <c r="C202" s="11"/>
      <c r="D202" s="11"/>
      <c r="E202" s="21"/>
      <c r="F202" s="66"/>
      <c r="G202" s="11"/>
    </row>
    <row r="203" ht="15.75" customHeight="1">
      <c r="A203" s="28" t="str">
        <f t="shared" si="4"/>
        <v/>
      </c>
      <c r="B203" s="9"/>
      <c r="C203" s="9"/>
      <c r="D203" s="9"/>
      <c r="E203" s="14"/>
      <c r="F203" s="54"/>
      <c r="G203" s="9"/>
    </row>
    <row r="204" ht="15.75" customHeight="1">
      <c r="A204" s="29" t="str">
        <f t="shared" si="4"/>
        <v/>
      </c>
      <c r="B204" s="11"/>
      <c r="C204" s="11"/>
      <c r="D204" s="11"/>
      <c r="E204" s="21"/>
      <c r="F204" s="66"/>
      <c r="G204" s="11"/>
    </row>
    <row r="205" ht="15.75" customHeight="1">
      <c r="A205" s="28" t="str">
        <f t="shared" si="4"/>
        <v/>
      </c>
      <c r="B205" s="9"/>
      <c r="C205" s="9"/>
      <c r="D205" s="9"/>
      <c r="E205" s="14"/>
      <c r="F205" s="54"/>
      <c r="G205" s="9"/>
    </row>
    <row r="206" ht="15.75" customHeight="1">
      <c r="A206" s="29" t="str">
        <f t="shared" si="4"/>
        <v/>
      </c>
      <c r="B206" s="11"/>
      <c r="C206" s="11"/>
      <c r="D206" s="11"/>
      <c r="E206" s="21"/>
      <c r="F206" s="66"/>
      <c r="G206" s="11"/>
    </row>
    <row r="207" ht="15.75" customHeight="1">
      <c r="A207" s="28" t="str">
        <f t="shared" si="4"/>
        <v/>
      </c>
      <c r="B207" s="9"/>
      <c r="C207" s="9"/>
      <c r="D207" s="9"/>
      <c r="E207" s="14"/>
      <c r="F207" s="54"/>
      <c r="G207" s="9"/>
    </row>
    <row r="208" ht="15.75" customHeight="1">
      <c r="A208" s="29" t="str">
        <f t="shared" si="4"/>
        <v/>
      </c>
      <c r="B208" s="11"/>
      <c r="C208" s="11"/>
      <c r="D208" s="11"/>
      <c r="E208" s="21"/>
      <c r="F208" s="66"/>
      <c r="G208" s="11"/>
    </row>
    <row r="209" ht="15.75" customHeight="1">
      <c r="A209" s="28" t="str">
        <f t="shared" si="4"/>
        <v/>
      </c>
      <c r="B209" s="9"/>
      <c r="C209" s="9"/>
      <c r="D209" s="9"/>
      <c r="E209" s="14"/>
      <c r="F209" s="54"/>
      <c r="G209" s="9"/>
    </row>
    <row r="210" ht="15.75" customHeight="1">
      <c r="A210" s="29" t="str">
        <f t="shared" si="4"/>
        <v/>
      </c>
      <c r="B210" s="11"/>
      <c r="C210" s="11"/>
      <c r="D210" s="11"/>
      <c r="E210" s="21"/>
      <c r="F210" s="66"/>
      <c r="G210" s="11"/>
    </row>
    <row r="211" ht="15.75" customHeight="1">
      <c r="A211" s="28" t="str">
        <f t="shared" si="4"/>
        <v/>
      </c>
      <c r="B211" s="9"/>
      <c r="C211" s="9"/>
      <c r="D211" s="9"/>
      <c r="E211" s="14"/>
      <c r="F211" s="54"/>
      <c r="G211" s="9"/>
    </row>
    <row r="212" ht="15.75" customHeight="1">
      <c r="A212" s="29" t="str">
        <f t="shared" si="4"/>
        <v/>
      </c>
      <c r="B212" s="11"/>
      <c r="C212" s="11"/>
      <c r="D212" s="11"/>
      <c r="E212" s="21"/>
      <c r="F212" s="66"/>
      <c r="G212" s="11"/>
    </row>
    <row r="213" ht="15.75" customHeight="1">
      <c r="A213" s="28" t="str">
        <f t="shared" si="4"/>
        <v/>
      </c>
      <c r="B213" s="9"/>
      <c r="C213" s="9"/>
      <c r="D213" s="9"/>
      <c r="E213" s="14"/>
      <c r="F213" s="54"/>
      <c r="G213" s="9"/>
    </row>
    <row r="214" ht="15.75" customHeight="1">
      <c r="A214" s="29" t="str">
        <f t="shared" si="4"/>
        <v/>
      </c>
      <c r="B214" s="11"/>
      <c r="C214" s="11"/>
      <c r="D214" s="11"/>
      <c r="E214" s="21"/>
      <c r="F214" s="66"/>
      <c r="G214" s="11"/>
    </row>
    <row r="215" ht="15.75" customHeight="1">
      <c r="A215" s="28" t="str">
        <f t="shared" si="4"/>
        <v/>
      </c>
      <c r="B215" s="9"/>
      <c r="C215" s="9"/>
      <c r="D215" s="9"/>
      <c r="E215" s="14"/>
      <c r="F215" s="54"/>
      <c r="G215" s="9"/>
    </row>
    <row r="216" ht="15.75" customHeight="1">
      <c r="A216" s="29" t="str">
        <f t="shared" si="4"/>
        <v/>
      </c>
      <c r="B216" s="11"/>
      <c r="C216" s="11"/>
      <c r="D216" s="11"/>
      <c r="E216" s="21"/>
      <c r="F216" s="66"/>
      <c r="G216" s="11"/>
    </row>
    <row r="217" ht="15.75" customHeight="1">
      <c r="A217" s="28" t="str">
        <f t="shared" si="4"/>
        <v/>
      </c>
      <c r="B217" s="9"/>
      <c r="C217" s="9"/>
      <c r="D217" s="9"/>
      <c r="E217" s="14"/>
      <c r="F217" s="54"/>
      <c r="G217" s="9"/>
    </row>
    <row r="218" ht="15.75" customHeight="1">
      <c r="A218" s="29" t="str">
        <f t="shared" si="4"/>
        <v/>
      </c>
      <c r="B218" s="11"/>
      <c r="C218" s="11"/>
      <c r="D218" s="11"/>
      <c r="E218" s="21"/>
      <c r="F218" s="66"/>
      <c r="G218" s="11"/>
    </row>
    <row r="219" ht="15.75" customHeight="1">
      <c r="A219" s="28" t="str">
        <f t="shared" si="4"/>
        <v/>
      </c>
      <c r="B219" s="9"/>
      <c r="C219" s="9"/>
      <c r="D219" s="9"/>
      <c r="E219" s="14"/>
      <c r="F219" s="54"/>
      <c r="G219" s="9"/>
    </row>
    <row r="220" ht="15.75" customHeight="1">
      <c r="A220" s="29" t="str">
        <f t="shared" si="4"/>
        <v/>
      </c>
      <c r="B220" s="11"/>
      <c r="C220" s="11"/>
      <c r="D220" s="11"/>
      <c r="E220" s="21"/>
      <c r="F220" s="66"/>
      <c r="G220" s="11"/>
    </row>
    <row r="221" ht="15.75" customHeight="1">
      <c r="A221" s="28" t="str">
        <f t="shared" si="4"/>
        <v/>
      </c>
      <c r="B221" s="9"/>
      <c r="C221" s="9"/>
      <c r="D221" s="9"/>
      <c r="E221" s="14"/>
      <c r="F221" s="54"/>
      <c r="G221" s="9"/>
    </row>
    <row r="222" ht="15.75" customHeight="1">
      <c r="A222" s="29" t="str">
        <f t="shared" si="4"/>
        <v/>
      </c>
      <c r="B222" s="11"/>
      <c r="C222" s="11"/>
      <c r="D222" s="11"/>
      <c r="E222" s="21"/>
      <c r="F222" s="66"/>
      <c r="G222" s="11"/>
    </row>
    <row r="223" ht="15.75" customHeight="1">
      <c r="A223" s="28" t="str">
        <f t="shared" si="4"/>
        <v/>
      </c>
      <c r="B223" s="9"/>
      <c r="C223" s="9"/>
      <c r="D223" s="9"/>
      <c r="E223" s="14"/>
      <c r="F223" s="54"/>
      <c r="G223" s="9"/>
    </row>
    <row r="224" ht="15.75" customHeight="1">
      <c r="A224" s="29" t="str">
        <f t="shared" si="4"/>
        <v/>
      </c>
      <c r="B224" s="11"/>
      <c r="C224" s="11"/>
      <c r="D224" s="11"/>
      <c r="E224" s="21"/>
      <c r="F224" s="66"/>
      <c r="G224" s="11"/>
    </row>
    <row r="225" ht="15.75" customHeight="1">
      <c r="A225" s="28" t="str">
        <f t="shared" si="4"/>
        <v/>
      </c>
      <c r="B225" s="9"/>
      <c r="C225" s="9"/>
      <c r="D225" s="9"/>
      <c r="E225" s="14"/>
      <c r="F225" s="54"/>
      <c r="G225" s="9"/>
    </row>
    <row r="226" ht="15.75" customHeight="1">
      <c r="A226" s="29" t="str">
        <f t="shared" si="4"/>
        <v/>
      </c>
      <c r="B226" s="11"/>
      <c r="C226" s="11"/>
      <c r="D226" s="11"/>
      <c r="E226" s="21"/>
      <c r="F226" s="66"/>
      <c r="G226" s="11"/>
    </row>
    <row r="227" ht="15.75" customHeight="1">
      <c r="A227" s="28" t="str">
        <f t="shared" si="4"/>
        <v/>
      </c>
      <c r="B227" s="9"/>
      <c r="C227" s="9"/>
      <c r="D227" s="9"/>
      <c r="E227" s="14"/>
      <c r="F227" s="54"/>
      <c r="G227" s="9"/>
    </row>
    <row r="228" ht="15.75" customHeight="1">
      <c r="A228" s="29" t="str">
        <f t="shared" si="4"/>
        <v/>
      </c>
      <c r="B228" s="11"/>
      <c r="C228" s="11"/>
      <c r="D228" s="11"/>
      <c r="E228" s="21"/>
      <c r="F228" s="66"/>
      <c r="G228" s="11"/>
    </row>
    <row r="229" ht="15.75" customHeight="1">
      <c r="A229" s="28" t="str">
        <f t="shared" si="4"/>
        <v/>
      </c>
      <c r="B229" s="9"/>
      <c r="C229" s="9"/>
      <c r="D229" s="9"/>
      <c r="E229" s="14"/>
      <c r="F229" s="54"/>
      <c r="G229" s="9"/>
    </row>
    <row r="230" ht="15.75" customHeight="1">
      <c r="A230" s="29" t="str">
        <f t="shared" si="4"/>
        <v/>
      </c>
      <c r="B230" s="11"/>
      <c r="C230" s="11"/>
      <c r="D230" s="11"/>
      <c r="E230" s="21"/>
      <c r="F230" s="66"/>
      <c r="G230" s="11"/>
    </row>
    <row r="231" ht="15.75" customHeight="1">
      <c r="A231" s="28" t="str">
        <f t="shared" si="4"/>
        <v/>
      </c>
      <c r="B231" s="9"/>
      <c r="C231" s="9"/>
      <c r="D231" s="9"/>
      <c r="E231" s="14"/>
      <c r="F231" s="54"/>
      <c r="G231" s="9"/>
    </row>
    <row r="232" ht="15.75" customHeight="1">
      <c r="A232" s="29" t="str">
        <f t="shared" si="4"/>
        <v/>
      </c>
      <c r="B232" s="11"/>
      <c r="C232" s="11"/>
      <c r="D232" s="11"/>
      <c r="E232" s="21"/>
      <c r="F232" s="66"/>
      <c r="G232" s="11"/>
    </row>
    <row r="233" ht="15.75" customHeight="1">
      <c r="A233" s="28" t="str">
        <f t="shared" si="4"/>
        <v/>
      </c>
      <c r="B233" s="9"/>
      <c r="C233" s="9"/>
      <c r="D233" s="9"/>
      <c r="E233" s="14"/>
      <c r="F233" s="54"/>
      <c r="G233" s="9"/>
    </row>
    <row r="234" ht="15.75" customHeight="1">
      <c r="A234" s="29" t="str">
        <f t="shared" si="4"/>
        <v/>
      </c>
      <c r="B234" s="11"/>
      <c r="C234" s="11"/>
      <c r="D234" s="11"/>
      <c r="E234" s="21"/>
      <c r="F234" s="66"/>
      <c r="G234" s="11"/>
    </row>
    <row r="235" ht="15.75" customHeight="1">
      <c r="A235" s="28" t="str">
        <f t="shared" si="4"/>
        <v/>
      </c>
      <c r="B235" s="9"/>
      <c r="C235" s="9"/>
      <c r="D235" s="9"/>
      <c r="E235" s="14"/>
      <c r="F235" s="54"/>
      <c r="G235" s="9"/>
    </row>
    <row r="236" ht="15.75" customHeight="1">
      <c r="A236" s="29" t="str">
        <f t="shared" si="4"/>
        <v/>
      </c>
      <c r="B236" s="11"/>
      <c r="C236" s="11"/>
      <c r="D236" s="11"/>
      <c r="E236" s="21"/>
      <c r="F236" s="66"/>
      <c r="G236" s="11"/>
    </row>
    <row r="237" ht="15.75" customHeight="1">
      <c r="A237" s="28" t="str">
        <f t="shared" si="4"/>
        <v/>
      </c>
      <c r="B237" s="9"/>
      <c r="C237" s="9"/>
      <c r="D237" s="9"/>
      <c r="E237" s="14"/>
      <c r="F237" s="54"/>
      <c r="G237" s="9"/>
    </row>
    <row r="238" ht="15.75" customHeight="1">
      <c r="A238" s="29" t="str">
        <f t="shared" si="4"/>
        <v/>
      </c>
      <c r="B238" s="11"/>
      <c r="C238" s="11"/>
      <c r="D238" s="11"/>
      <c r="E238" s="21"/>
      <c r="F238" s="66"/>
      <c r="G238" s="11"/>
    </row>
    <row r="239" ht="15.75" customHeight="1">
      <c r="A239" s="28" t="str">
        <f t="shared" si="4"/>
        <v/>
      </c>
      <c r="B239" s="9"/>
      <c r="C239" s="9"/>
      <c r="D239" s="9"/>
      <c r="E239" s="14"/>
      <c r="F239" s="54"/>
      <c r="G239" s="9"/>
    </row>
    <row r="240" ht="15.75" customHeight="1">
      <c r="A240" s="29" t="str">
        <f t="shared" si="4"/>
        <v/>
      </c>
      <c r="B240" s="11"/>
      <c r="C240" s="11"/>
      <c r="D240" s="11"/>
      <c r="E240" s="21"/>
      <c r="F240" s="66"/>
      <c r="G240" s="11"/>
    </row>
    <row r="241" ht="15.75" customHeight="1">
      <c r="A241" s="28" t="str">
        <f t="shared" si="4"/>
        <v/>
      </c>
      <c r="B241" s="9"/>
      <c r="C241" s="9"/>
      <c r="D241" s="9"/>
      <c r="E241" s="14"/>
      <c r="F241" s="54"/>
      <c r="G241" s="9"/>
    </row>
    <row r="242" ht="15.75" customHeight="1">
      <c r="A242" s="29" t="str">
        <f t="shared" si="4"/>
        <v/>
      </c>
      <c r="B242" s="11"/>
      <c r="C242" s="11"/>
      <c r="D242" s="11"/>
      <c r="E242" s="21"/>
      <c r="F242" s="66"/>
      <c r="G242" s="11"/>
    </row>
    <row r="243" ht="15.75" customHeight="1">
      <c r="A243" s="28" t="str">
        <f t="shared" si="4"/>
        <v/>
      </c>
      <c r="B243" s="9"/>
      <c r="C243" s="9"/>
      <c r="D243" s="9"/>
      <c r="E243" s="14"/>
      <c r="F243" s="54"/>
      <c r="G243" s="9"/>
    </row>
    <row r="244" ht="15.75" customHeight="1">
      <c r="A244" s="29" t="str">
        <f t="shared" si="4"/>
        <v/>
      </c>
      <c r="B244" s="11"/>
      <c r="C244" s="11"/>
      <c r="D244" s="11"/>
      <c r="E244" s="21"/>
      <c r="F244" s="66"/>
      <c r="G244" s="11"/>
    </row>
    <row r="245" ht="15.75" customHeight="1">
      <c r="A245" s="28" t="str">
        <f t="shared" si="4"/>
        <v/>
      </c>
      <c r="B245" s="9"/>
      <c r="C245" s="9"/>
      <c r="D245" s="9"/>
      <c r="E245" s="14"/>
      <c r="F245" s="54"/>
      <c r="G245" s="9"/>
    </row>
    <row r="246" ht="15.75" customHeight="1">
      <c r="A246" s="29" t="str">
        <f t="shared" si="4"/>
        <v/>
      </c>
      <c r="B246" s="11"/>
      <c r="C246" s="11"/>
      <c r="D246" s="11"/>
      <c r="E246" s="21"/>
      <c r="F246" s="66"/>
      <c r="G246" s="11"/>
    </row>
    <row r="247" ht="15.75" customHeight="1">
      <c r="A247" s="28" t="str">
        <f t="shared" si="4"/>
        <v/>
      </c>
      <c r="B247" s="9"/>
      <c r="C247" s="9"/>
      <c r="D247" s="9"/>
      <c r="E247" s="14"/>
      <c r="F247" s="54"/>
      <c r="G247" s="9"/>
    </row>
    <row r="248" ht="15.75" customHeight="1">
      <c r="A248" s="29" t="str">
        <f t="shared" si="4"/>
        <v/>
      </c>
      <c r="B248" s="11"/>
      <c r="C248" s="11"/>
      <c r="D248" s="11"/>
      <c r="E248" s="21"/>
      <c r="F248" s="66"/>
      <c r="G248" s="11"/>
    </row>
    <row r="249" ht="15.75" customHeight="1">
      <c r="A249" s="28" t="str">
        <f t="shared" si="4"/>
        <v/>
      </c>
      <c r="B249" s="9"/>
      <c r="C249" s="9"/>
      <c r="D249" s="9"/>
      <c r="E249" s="14"/>
      <c r="F249" s="54"/>
      <c r="G249" s="9"/>
    </row>
    <row r="250" ht="15.75" customHeight="1">
      <c r="A250" s="29" t="str">
        <f t="shared" si="4"/>
        <v/>
      </c>
      <c r="B250" s="11"/>
      <c r="C250" s="11"/>
      <c r="D250" s="11"/>
      <c r="E250" s="21"/>
      <c r="F250" s="66"/>
      <c r="G250" s="11"/>
    </row>
    <row r="251" ht="15.75" customHeight="1">
      <c r="A251" s="28" t="str">
        <f t="shared" si="4"/>
        <v/>
      </c>
      <c r="B251" s="9"/>
      <c r="C251" s="9"/>
      <c r="D251" s="9"/>
      <c r="E251" s="14"/>
      <c r="F251" s="54"/>
      <c r="G251" s="9"/>
    </row>
    <row r="252" ht="15.75" customHeight="1">
      <c r="A252" s="29" t="str">
        <f t="shared" si="4"/>
        <v/>
      </c>
      <c r="B252" s="11"/>
      <c r="C252" s="11"/>
      <c r="D252" s="11"/>
      <c r="E252" s="21"/>
      <c r="F252" s="66"/>
      <c r="G252" s="11"/>
    </row>
    <row r="253" ht="15.75" customHeight="1">
      <c r="A253" s="28" t="str">
        <f t="shared" si="4"/>
        <v/>
      </c>
      <c r="B253" s="9"/>
      <c r="C253" s="9"/>
      <c r="D253" s="9"/>
      <c r="E253" s="14"/>
      <c r="F253" s="54"/>
      <c r="G253" s="9"/>
    </row>
    <row r="254" ht="15.75" customHeight="1">
      <c r="A254" s="29" t="str">
        <f t="shared" si="4"/>
        <v/>
      </c>
      <c r="B254" s="11"/>
      <c r="C254" s="11"/>
      <c r="D254" s="11"/>
      <c r="E254" s="21"/>
      <c r="F254" s="66"/>
      <c r="G254" s="11"/>
    </row>
    <row r="255" ht="15.75" customHeight="1">
      <c r="A255" s="28" t="str">
        <f t="shared" si="4"/>
        <v/>
      </c>
      <c r="B255" s="9"/>
      <c r="C255" s="9"/>
      <c r="D255" s="9"/>
      <c r="E255" s="14"/>
      <c r="F255" s="54"/>
      <c r="G255" s="9"/>
    </row>
    <row r="256" ht="15.75" customHeight="1">
      <c r="A256" s="29" t="str">
        <f t="shared" si="4"/>
        <v/>
      </c>
      <c r="B256" s="11"/>
      <c r="C256" s="11"/>
      <c r="D256" s="11"/>
      <c r="E256" s="21"/>
      <c r="F256" s="66"/>
      <c r="G256" s="11"/>
    </row>
    <row r="257" ht="15.75" customHeight="1">
      <c r="A257" s="28" t="str">
        <f t="shared" si="4"/>
        <v/>
      </c>
      <c r="B257" s="9"/>
      <c r="C257" s="9"/>
      <c r="D257" s="9"/>
      <c r="E257" s="14"/>
      <c r="F257" s="54"/>
      <c r="G257" s="9"/>
    </row>
    <row r="258" ht="15.75" customHeight="1">
      <c r="A258" s="29" t="str">
        <f t="shared" si="4"/>
        <v/>
      </c>
      <c r="B258" s="11"/>
      <c r="C258" s="11"/>
      <c r="D258" s="11"/>
      <c r="E258" s="21"/>
      <c r="F258" s="66"/>
      <c r="G258" s="11"/>
    </row>
    <row r="259" ht="15.75" customHeight="1">
      <c r="A259" s="28" t="str">
        <f t="shared" si="4"/>
        <v/>
      </c>
      <c r="B259" s="9"/>
      <c r="C259" s="9"/>
      <c r="D259" s="9"/>
      <c r="E259" s="14"/>
      <c r="F259" s="54"/>
      <c r="G259" s="9"/>
    </row>
    <row r="260" ht="15.75" customHeight="1">
      <c r="A260" s="29" t="str">
        <f t="shared" si="4"/>
        <v/>
      </c>
      <c r="B260" s="11"/>
      <c r="C260" s="11"/>
      <c r="D260" s="11"/>
      <c r="E260" s="21"/>
      <c r="F260" s="66"/>
      <c r="G260" s="11"/>
    </row>
    <row r="261" ht="15.75" customHeight="1">
      <c r="A261" s="28" t="str">
        <f t="shared" si="4"/>
        <v/>
      </c>
      <c r="B261" s="9"/>
      <c r="C261" s="9"/>
      <c r="D261" s="9"/>
      <c r="E261" s="14"/>
      <c r="F261" s="54"/>
      <c r="G261" s="9"/>
    </row>
    <row r="262" ht="15.75" customHeight="1">
      <c r="A262" s="29" t="str">
        <f t="shared" si="4"/>
        <v/>
      </c>
      <c r="B262" s="11"/>
      <c r="C262" s="11"/>
      <c r="D262" s="11"/>
      <c r="E262" s="21"/>
      <c r="F262" s="66"/>
      <c r="G262" s="11"/>
    </row>
    <row r="263" ht="15.75" customHeight="1">
      <c r="A263" s="28" t="str">
        <f t="shared" si="4"/>
        <v/>
      </c>
      <c r="B263" s="9"/>
      <c r="C263" s="9"/>
      <c r="D263" s="9"/>
      <c r="E263" s="14"/>
      <c r="F263" s="54"/>
      <c r="G263" s="9"/>
    </row>
    <row r="264" ht="15.75" customHeight="1">
      <c r="A264" s="29" t="str">
        <f t="shared" si="4"/>
        <v/>
      </c>
      <c r="B264" s="11"/>
      <c r="C264" s="11"/>
      <c r="D264" s="11"/>
      <c r="E264" s="21"/>
      <c r="F264" s="66"/>
      <c r="G264" s="11"/>
    </row>
    <row r="265" ht="15.75" customHeight="1">
      <c r="A265" s="28" t="str">
        <f t="shared" si="4"/>
        <v/>
      </c>
      <c r="B265" s="9"/>
      <c r="C265" s="9"/>
      <c r="D265" s="9"/>
      <c r="E265" s="14"/>
      <c r="F265" s="54"/>
      <c r="G265" s="9"/>
    </row>
    <row r="266" ht="15.75" customHeight="1">
      <c r="A266" s="29" t="str">
        <f t="shared" si="4"/>
        <v/>
      </c>
      <c r="B266" s="11"/>
      <c r="C266" s="11"/>
      <c r="D266" s="11"/>
      <c r="E266" s="21"/>
      <c r="F266" s="66"/>
      <c r="G266" s="11"/>
    </row>
    <row r="267" ht="15.75" customHeight="1">
      <c r="A267" s="28" t="str">
        <f t="shared" si="4"/>
        <v/>
      </c>
      <c r="B267" s="9"/>
      <c r="C267" s="9"/>
      <c r="D267" s="9"/>
      <c r="E267" s="14"/>
      <c r="F267" s="54"/>
      <c r="G267" s="9"/>
    </row>
    <row r="268" ht="15.75" customHeight="1">
      <c r="A268" s="29" t="str">
        <f t="shared" si="4"/>
        <v/>
      </c>
      <c r="B268" s="11"/>
      <c r="C268" s="11"/>
      <c r="D268" s="11"/>
      <c r="E268" s="21"/>
      <c r="F268" s="66"/>
      <c r="G268" s="11"/>
    </row>
    <row r="269" ht="15.75" customHeight="1">
      <c r="A269" s="28" t="str">
        <f t="shared" si="4"/>
        <v/>
      </c>
      <c r="B269" s="9"/>
      <c r="C269" s="9"/>
      <c r="D269" s="9"/>
      <c r="E269" s="14"/>
      <c r="F269" s="54"/>
      <c r="G269" s="9"/>
    </row>
    <row r="270" ht="15.75" customHeight="1">
      <c r="A270" s="29" t="str">
        <f t="shared" si="4"/>
        <v/>
      </c>
      <c r="B270" s="11"/>
      <c r="C270" s="11"/>
      <c r="D270" s="11"/>
      <c r="E270" s="21"/>
      <c r="F270" s="66"/>
      <c r="G270" s="11"/>
    </row>
    <row r="271" ht="15.75" customHeight="1">
      <c r="A271" s="28" t="str">
        <f t="shared" si="4"/>
        <v/>
      </c>
      <c r="B271" s="9"/>
      <c r="C271" s="9"/>
      <c r="D271" s="9"/>
      <c r="E271" s="14"/>
      <c r="F271" s="54"/>
      <c r="G271" s="9"/>
    </row>
    <row r="272" ht="15.75" customHeight="1">
      <c r="A272" s="29" t="str">
        <f t="shared" si="4"/>
        <v/>
      </c>
      <c r="B272" s="11"/>
      <c r="C272" s="11"/>
      <c r="D272" s="11"/>
      <c r="E272" s="21"/>
      <c r="F272" s="66"/>
      <c r="G272" s="11"/>
    </row>
    <row r="273" ht="15.75" customHeight="1">
      <c r="A273" s="28" t="str">
        <f t="shared" si="4"/>
        <v/>
      </c>
      <c r="B273" s="9"/>
      <c r="C273" s="9"/>
      <c r="D273" s="9"/>
      <c r="E273" s="14"/>
      <c r="F273" s="54"/>
      <c r="G273" s="9"/>
    </row>
    <row r="274" ht="15.75" customHeight="1">
      <c r="A274" s="29" t="str">
        <f t="shared" si="4"/>
        <v/>
      </c>
      <c r="B274" s="11"/>
      <c r="C274" s="11"/>
      <c r="D274" s="11"/>
      <c r="E274" s="21"/>
      <c r="F274" s="66"/>
      <c r="G274" s="11"/>
    </row>
    <row r="275" ht="15.75" customHeight="1">
      <c r="A275" s="28" t="str">
        <f t="shared" si="4"/>
        <v/>
      </c>
      <c r="B275" s="9"/>
      <c r="C275" s="9"/>
      <c r="D275" s="9"/>
      <c r="E275" s="14"/>
      <c r="F275" s="54"/>
      <c r="G275" s="9"/>
    </row>
    <row r="276" ht="15.75" customHeight="1">
      <c r="A276" s="29" t="str">
        <f t="shared" si="4"/>
        <v/>
      </c>
      <c r="B276" s="11"/>
      <c r="C276" s="11"/>
      <c r="D276" s="11"/>
      <c r="E276" s="21"/>
      <c r="F276" s="66"/>
      <c r="G276" s="11"/>
    </row>
    <row r="277" ht="15.75" customHeight="1">
      <c r="A277" s="28" t="str">
        <f t="shared" si="4"/>
        <v/>
      </c>
      <c r="B277" s="9"/>
      <c r="C277" s="9"/>
      <c r="D277" s="9"/>
      <c r="E277" s="14"/>
      <c r="F277" s="54"/>
      <c r="G277" s="9"/>
    </row>
    <row r="278" ht="15.75" customHeight="1">
      <c r="A278" s="29" t="str">
        <f t="shared" si="4"/>
        <v/>
      </c>
      <c r="B278" s="11"/>
      <c r="C278" s="11"/>
      <c r="D278" s="11"/>
      <c r="E278" s="21"/>
      <c r="F278" s="66"/>
      <c r="G278" s="11"/>
    </row>
    <row r="279" ht="15.75" customHeight="1">
      <c r="A279" s="28" t="str">
        <f t="shared" si="4"/>
        <v/>
      </c>
      <c r="B279" s="9"/>
      <c r="C279" s="9"/>
      <c r="D279" s="9"/>
      <c r="E279" s="14"/>
      <c r="F279" s="54"/>
      <c r="G279" s="9"/>
    </row>
    <row r="280" ht="15.75" customHeight="1">
      <c r="A280" s="29" t="str">
        <f t="shared" si="4"/>
        <v/>
      </c>
      <c r="B280" s="11"/>
      <c r="C280" s="11"/>
      <c r="D280" s="11"/>
      <c r="E280" s="21"/>
      <c r="F280" s="66"/>
      <c r="G280" s="11"/>
    </row>
    <row r="281" ht="15.75" customHeight="1">
      <c r="A281" s="28" t="str">
        <f t="shared" si="4"/>
        <v/>
      </c>
      <c r="B281" s="9"/>
      <c r="C281" s="9"/>
      <c r="D281" s="9"/>
      <c r="E281" s="14"/>
      <c r="F281" s="54"/>
      <c r="G281" s="9"/>
    </row>
    <row r="282" ht="15.75" customHeight="1">
      <c r="A282" s="29" t="str">
        <f t="shared" si="4"/>
        <v/>
      </c>
      <c r="B282" s="11"/>
      <c r="C282" s="11"/>
      <c r="D282" s="11"/>
      <c r="E282" s="21"/>
      <c r="F282" s="66"/>
      <c r="G282" s="11"/>
    </row>
    <row r="283" ht="15.75" customHeight="1">
      <c r="A283" s="28" t="str">
        <f t="shared" si="4"/>
        <v/>
      </c>
      <c r="B283" s="9"/>
      <c r="C283" s="9"/>
      <c r="D283" s="9"/>
      <c r="E283" s="14"/>
      <c r="F283" s="54"/>
      <c r="G283" s="9"/>
    </row>
    <row r="284" ht="15.75" customHeight="1">
      <c r="A284" s="29" t="str">
        <f t="shared" si="4"/>
        <v/>
      </c>
      <c r="B284" s="11"/>
      <c r="C284" s="11"/>
      <c r="D284" s="11"/>
      <c r="E284" s="21"/>
      <c r="F284" s="66"/>
      <c r="G284" s="11"/>
    </row>
    <row r="285" ht="15.75" customHeight="1">
      <c r="A285" s="28" t="str">
        <f t="shared" si="4"/>
        <v/>
      </c>
      <c r="B285" s="9"/>
      <c r="C285" s="9"/>
      <c r="D285" s="9"/>
      <c r="E285" s="14"/>
      <c r="F285" s="54"/>
      <c r="G285" s="9"/>
    </row>
    <row r="286" ht="15.75" customHeight="1">
      <c r="A286" s="29" t="str">
        <f t="shared" si="4"/>
        <v/>
      </c>
      <c r="B286" s="11"/>
      <c r="C286" s="11"/>
      <c r="D286" s="11"/>
      <c r="E286" s="21"/>
      <c r="F286" s="66"/>
      <c r="G286" s="11"/>
    </row>
    <row r="287" ht="15.75" customHeight="1">
      <c r="A287" s="28" t="str">
        <f t="shared" si="4"/>
        <v/>
      </c>
      <c r="B287" s="9"/>
      <c r="C287" s="9"/>
      <c r="D287" s="9"/>
      <c r="E287" s="14"/>
      <c r="F287" s="54"/>
      <c r="G287" s="9"/>
    </row>
    <row r="288" ht="15.75" customHeight="1">
      <c r="A288" s="29" t="str">
        <f t="shared" si="4"/>
        <v/>
      </c>
      <c r="B288" s="11"/>
      <c r="C288" s="11"/>
      <c r="D288" s="11"/>
      <c r="E288" s="21"/>
      <c r="F288" s="66"/>
      <c r="G288" s="11"/>
    </row>
    <row r="289" ht="15.75" customHeight="1">
      <c r="A289" s="28" t="str">
        <f t="shared" si="4"/>
        <v/>
      </c>
      <c r="B289" s="9"/>
      <c r="C289" s="9"/>
      <c r="D289" s="9"/>
      <c r="E289" s="14"/>
      <c r="F289" s="54"/>
      <c r="G289" s="9"/>
    </row>
    <row r="290" ht="15.75" customHeight="1">
      <c r="A290" s="29" t="str">
        <f t="shared" si="4"/>
        <v/>
      </c>
      <c r="B290" s="11"/>
      <c r="C290" s="11"/>
      <c r="D290" s="11"/>
      <c r="E290" s="21"/>
      <c r="F290" s="66"/>
      <c r="G290" s="11"/>
    </row>
    <row r="291" ht="15.75" customHeight="1">
      <c r="A291" s="28" t="str">
        <f t="shared" si="4"/>
        <v/>
      </c>
      <c r="B291" s="9"/>
      <c r="C291" s="9"/>
      <c r="D291" s="9"/>
      <c r="E291" s="14"/>
      <c r="F291" s="54"/>
      <c r="G291" s="9"/>
    </row>
    <row r="292" ht="15.75" customHeight="1">
      <c r="A292" s="29" t="str">
        <f t="shared" si="4"/>
        <v/>
      </c>
      <c r="B292" s="11"/>
      <c r="C292" s="11"/>
      <c r="D292" s="11"/>
      <c r="E292" s="21"/>
      <c r="F292" s="66"/>
      <c r="G292" s="11"/>
    </row>
    <row r="293" ht="15.75" customHeight="1">
      <c r="A293" s="28" t="str">
        <f t="shared" si="4"/>
        <v/>
      </c>
      <c r="B293" s="9"/>
      <c r="C293" s="9"/>
      <c r="D293" s="9"/>
      <c r="E293" s="14"/>
      <c r="F293" s="54"/>
      <c r="G293" s="9"/>
    </row>
    <row r="294" ht="15.75" customHeight="1">
      <c r="A294" s="29" t="str">
        <f t="shared" si="4"/>
        <v/>
      </c>
      <c r="B294" s="11"/>
      <c r="C294" s="11"/>
      <c r="D294" s="11"/>
      <c r="E294" s="21"/>
      <c r="F294" s="66"/>
      <c r="G294" s="11"/>
    </row>
    <row r="295" ht="15.75" customHeight="1">
      <c r="A295" s="28" t="str">
        <f t="shared" si="4"/>
        <v/>
      </c>
      <c r="B295" s="9"/>
      <c r="C295" s="9"/>
      <c r="D295" s="9"/>
      <c r="E295" s="14"/>
      <c r="F295" s="54"/>
      <c r="G295" s="9"/>
    </row>
    <row r="296" ht="15.75" customHeight="1">
      <c r="A296" s="29" t="str">
        <f t="shared" si="4"/>
        <v/>
      </c>
      <c r="B296" s="11"/>
      <c r="C296" s="11"/>
      <c r="D296" s="11"/>
      <c r="E296" s="21"/>
      <c r="F296" s="66"/>
      <c r="G296" s="11"/>
    </row>
    <row r="297" ht="15.75" customHeight="1">
      <c r="A297" s="28" t="str">
        <f t="shared" si="4"/>
        <v/>
      </c>
      <c r="B297" s="9"/>
      <c r="C297" s="9"/>
      <c r="D297" s="9"/>
      <c r="E297" s="14"/>
      <c r="F297" s="54"/>
      <c r="G297" s="9"/>
    </row>
    <row r="298" ht="15.75" customHeight="1">
      <c r="A298" s="29" t="str">
        <f t="shared" si="4"/>
        <v/>
      </c>
      <c r="B298" s="11"/>
      <c r="C298" s="11"/>
      <c r="D298" s="11"/>
      <c r="E298" s="21"/>
      <c r="F298" s="66"/>
      <c r="G298" s="11"/>
    </row>
    <row r="299" ht="15.75" customHeight="1">
      <c r="A299" s="28" t="str">
        <f t="shared" si="4"/>
        <v/>
      </c>
      <c r="B299" s="9"/>
      <c r="C299" s="9"/>
      <c r="D299" s="9"/>
      <c r="E299" s="14"/>
      <c r="F299" s="54"/>
      <c r="G299" s="9"/>
    </row>
    <row r="300" ht="15.75" customHeight="1">
      <c r="A300" s="29" t="str">
        <f t="shared" si="4"/>
        <v/>
      </c>
      <c r="B300" s="11"/>
      <c r="C300" s="11"/>
      <c r="D300" s="11"/>
      <c r="E300" s="21"/>
      <c r="F300" s="66"/>
      <c r="G300" s="11"/>
    </row>
    <row r="301" ht="15.75" customHeight="1">
      <c r="A301" s="28" t="str">
        <f t="shared" si="4"/>
        <v/>
      </c>
      <c r="B301" s="9"/>
      <c r="C301" s="9"/>
      <c r="D301" s="9"/>
      <c r="E301" s="14"/>
      <c r="F301" s="54"/>
      <c r="G301" s="9"/>
    </row>
    <row r="302" ht="15.75" customHeight="1">
      <c r="A302" s="29" t="str">
        <f t="shared" si="4"/>
        <v/>
      </c>
      <c r="B302" s="11"/>
      <c r="C302" s="11"/>
      <c r="D302" s="11"/>
      <c r="E302" s="21"/>
      <c r="F302" s="66"/>
      <c r="G302" s="11"/>
    </row>
    <row r="303" ht="15.75" customHeight="1">
      <c r="A303" s="28" t="str">
        <f t="shared" si="4"/>
        <v/>
      </c>
      <c r="B303" s="9"/>
      <c r="C303" s="9"/>
      <c r="D303" s="9"/>
      <c r="E303" s="14"/>
      <c r="F303" s="54"/>
      <c r="G303" s="9"/>
    </row>
    <row r="304" ht="15.75" customHeight="1">
      <c r="A304" s="29" t="str">
        <f t="shared" si="4"/>
        <v/>
      </c>
      <c r="B304" s="11"/>
      <c r="C304" s="11"/>
      <c r="D304" s="11"/>
      <c r="E304" s="21"/>
      <c r="F304" s="66"/>
      <c r="G304" s="11"/>
    </row>
    <row r="305" ht="15.75" customHeight="1">
      <c r="A305" s="28" t="str">
        <f t="shared" si="4"/>
        <v/>
      </c>
      <c r="B305" s="9"/>
      <c r="C305" s="9"/>
      <c r="D305" s="9"/>
      <c r="E305" s="14"/>
      <c r="F305" s="54"/>
      <c r="G305" s="9"/>
    </row>
    <row r="306" ht="15.75" customHeight="1">
      <c r="A306" s="29" t="str">
        <f t="shared" si="4"/>
        <v/>
      </c>
      <c r="B306" s="11"/>
      <c r="C306" s="11"/>
      <c r="D306" s="11"/>
      <c r="E306" s="21"/>
      <c r="F306" s="66"/>
      <c r="G306" s="11"/>
    </row>
    <row r="307" ht="15.75" customHeight="1">
      <c r="A307" s="28" t="str">
        <f t="shared" si="4"/>
        <v/>
      </c>
      <c r="B307" s="9"/>
      <c r="C307" s="9"/>
      <c r="D307" s="9"/>
      <c r="E307" s="14"/>
      <c r="F307" s="54"/>
      <c r="G307" s="9"/>
    </row>
    <row r="308" ht="15.75" customHeight="1">
      <c r="A308" s="29" t="str">
        <f t="shared" si="4"/>
        <v/>
      </c>
      <c r="B308" s="11"/>
      <c r="C308" s="11"/>
      <c r="D308" s="11"/>
      <c r="E308" s="21"/>
      <c r="F308" s="66"/>
      <c r="G308" s="11"/>
    </row>
    <row r="309" ht="15.75" customHeight="1">
      <c r="A309" s="28" t="str">
        <f t="shared" si="4"/>
        <v/>
      </c>
      <c r="B309" s="9"/>
      <c r="C309" s="9"/>
      <c r="D309" s="9"/>
      <c r="E309" s="14"/>
      <c r="F309" s="54"/>
      <c r="G309" s="9"/>
    </row>
    <row r="310" ht="15.75" customHeight="1">
      <c r="A310" s="29" t="str">
        <f t="shared" si="4"/>
        <v/>
      </c>
      <c r="B310" s="11"/>
      <c r="C310" s="11"/>
      <c r="D310" s="11"/>
      <c r="E310" s="21"/>
      <c r="F310" s="66"/>
      <c r="G310" s="11"/>
    </row>
    <row r="311" ht="15.75" customHeight="1">
      <c r="A311" s="28" t="str">
        <f t="shared" si="4"/>
        <v/>
      </c>
      <c r="B311" s="9"/>
      <c r="C311" s="9"/>
      <c r="D311" s="9"/>
      <c r="E311" s="14"/>
      <c r="F311" s="54"/>
      <c r="G311" s="9"/>
    </row>
    <row r="312" ht="15.75" customHeight="1">
      <c r="A312" s="29" t="str">
        <f t="shared" si="4"/>
        <v/>
      </c>
      <c r="B312" s="11"/>
      <c r="C312" s="11"/>
      <c r="D312" s="11"/>
      <c r="E312" s="21"/>
      <c r="F312" s="66"/>
      <c r="G312" s="11"/>
    </row>
    <row r="313" ht="15.75" customHeight="1">
      <c r="A313" s="28" t="str">
        <f t="shared" si="4"/>
        <v/>
      </c>
      <c r="B313" s="9"/>
      <c r="C313" s="9"/>
      <c r="D313" s="9"/>
      <c r="E313" s="14"/>
      <c r="F313" s="54"/>
      <c r="G313" s="9"/>
    </row>
    <row r="314" ht="15.75" customHeight="1">
      <c r="A314" s="29" t="str">
        <f t="shared" si="4"/>
        <v/>
      </c>
      <c r="B314" s="11"/>
      <c r="C314" s="11"/>
      <c r="D314" s="11"/>
      <c r="E314" s="21"/>
      <c r="F314" s="66"/>
      <c r="G314" s="11"/>
    </row>
    <row r="315" ht="15.75" customHeight="1">
      <c r="A315" s="28" t="str">
        <f t="shared" si="4"/>
        <v/>
      </c>
      <c r="B315" s="9"/>
      <c r="C315" s="9"/>
      <c r="D315" s="9"/>
      <c r="E315" s="14"/>
      <c r="F315" s="54"/>
      <c r="G315" s="9"/>
    </row>
    <row r="316" ht="15.75" customHeight="1">
      <c r="A316" s="29" t="str">
        <f t="shared" si="4"/>
        <v/>
      </c>
      <c r="B316" s="11"/>
      <c r="C316" s="11"/>
      <c r="D316" s="11"/>
      <c r="E316" s="21"/>
      <c r="F316" s="66"/>
      <c r="G316" s="11"/>
    </row>
    <row r="317" ht="15.75" customHeight="1">
      <c r="A317" s="28" t="str">
        <f t="shared" si="4"/>
        <v/>
      </c>
      <c r="B317" s="9"/>
      <c r="C317" s="9"/>
      <c r="D317" s="9"/>
      <c r="E317" s="14"/>
      <c r="F317" s="54"/>
      <c r="G317" s="9"/>
    </row>
    <row r="318" ht="15.75" customHeight="1">
      <c r="A318" s="29" t="str">
        <f t="shared" si="4"/>
        <v/>
      </c>
      <c r="B318" s="11"/>
      <c r="C318" s="11"/>
      <c r="D318" s="11"/>
      <c r="E318" s="21"/>
      <c r="F318" s="66"/>
      <c r="G318" s="11"/>
    </row>
    <row r="319" ht="15.75" customHeight="1">
      <c r="A319" s="28" t="str">
        <f t="shared" si="4"/>
        <v/>
      </c>
      <c r="B319" s="9"/>
      <c r="C319" s="9"/>
      <c r="D319" s="9"/>
      <c r="E319" s="14"/>
      <c r="F319" s="54"/>
      <c r="G319" s="9"/>
    </row>
    <row r="320" ht="15.75" customHeight="1">
      <c r="A320" s="29" t="str">
        <f t="shared" si="4"/>
        <v/>
      </c>
      <c r="B320" s="11"/>
      <c r="C320" s="11"/>
      <c r="D320" s="11"/>
      <c r="E320" s="21"/>
      <c r="F320" s="66"/>
      <c r="G320" s="11"/>
    </row>
    <row r="321" ht="15.75" customHeight="1">
      <c r="A321" s="28" t="str">
        <f t="shared" si="4"/>
        <v/>
      </c>
      <c r="B321" s="9"/>
      <c r="C321" s="9"/>
      <c r="D321" s="9"/>
      <c r="E321" s="14"/>
      <c r="F321" s="54"/>
      <c r="G321" s="9"/>
    </row>
    <row r="322" ht="15.75" customHeight="1">
      <c r="A322" s="29" t="str">
        <f t="shared" si="4"/>
        <v/>
      </c>
      <c r="B322" s="11"/>
      <c r="C322" s="11"/>
      <c r="D322" s="11"/>
      <c r="E322" s="21"/>
      <c r="F322" s="66"/>
      <c r="G322" s="11"/>
    </row>
    <row r="323" ht="15.75" customHeight="1">
      <c r="A323" s="28" t="str">
        <f t="shared" si="4"/>
        <v/>
      </c>
      <c r="B323" s="9"/>
      <c r="C323" s="9"/>
      <c r="D323" s="9"/>
      <c r="E323" s="14"/>
      <c r="F323" s="54"/>
      <c r="G323" s="9"/>
    </row>
    <row r="324" ht="15.75" customHeight="1">
      <c r="A324" s="29" t="str">
        <f t="shared" si="4"/>
        <v/>
      </c>
      <c r="B324" s="11"/>
      <c r="C324" s="11"/>
      <c r="D324" s="11"/>
      <c r="E324" s="21"/>
      <c r="F324" s="66"/>
      <c r="G324" s="11"/>
    </row>
    <row r="325" ht="15.75" customHeight="1">
      <c r="A325" s="28" t="str">
        <f t="shared" si="4"/>
        <v/>
      </c>
      <c r="B325" s="9"/>
      <c r="C325" s="9"/>
      <c r="D325" s="9"/>
      <c r="E325" s="14"/>
      <c r="F325" s="54"/>
      <c r="G325" s="9"/>
    </row>
    <row r="326" ht="15.75" customHeight="1">
      <c r="A326" s="29" t="str">
        <f t="shared" si="4"/>
        <v/>
      </c>
      <c r="B326" s="11"/>
      <c r="C326" s="11"/>
      <c r="D326" s="11"/>
      <c r="E326" s="21"/>
      <c r="F326" s="66"/>
      <c r="G326" s="11"/>
    </row>
    <row r="327" ht="15.75" customHeight="1">
      <c r="A327" s="28" t="str">
        <f t="shared" si="4"/>
        <v/>
      </c>
      <c r="B327" s="9"/>
      <c r="C327" s="9"/>
      <c r="D327" s="9"/>
      <c r="E327" s="14"/>
      <c r="F327" s="54"/>
      <c r="G327" s="9"/>
    </row>
    <row r="328" ht="15.75" customHeight="1">
      <c r="A328" s="29" t="str">
        <f t="shared" si="4"/>
        <v/>
      </c>
      <c r="B328" s="11"/>
      <c r="C328" s="11"/>
      <c r="D328" s="11"/>
      <c r="E328" s="21"/>
      <c r="F328" s="66"/>
      <c r="G328" s="11"/>
    </row>
    <row r="329" ht="15.75" customHeight="1">
      <c r="A329" s="28" t="str">
        <f t="shared" si="4"/>
        <v/>
      </c>
      <c r="B329" s="9"/>
      <c r="C329" s="9"/>
      <c r="D329" s="9"/>
      <c r="E329" s="14"/>
      <c r="F329" s="54"/>
      <c r="G329" s="9"/>
    </row>
    <row r="330" ht="15.75" customHeight="1">
      <c r="A330" s="29" t="str">
        <f t="shared" si="4"/>
        <v/>
      </c>
      <c r="B330" s="11"/>
      <c r="C330" s="11"/>
      <c r="D330" s="11"/>
      <c r="E330" s="21"/>
      <c r="F330" s="66"/>
      <c r="G330" s="11"/>
    </row>
    <row r="331" ht="15.75" customHeight="1">
      <c r="A331" s="28" t="str">
        <f t="shared" si="4"/>
        <v/>
      </c>
      <c r="B331" s="9"/>
      <c r="C331" s="9"/>
      <c r="D331" s="9"/>
      <c r="E331" s="14"/>
      <c r="F331" s="54"/>
      <c r="G331" s="9"/>
    </row>
    <row r="332" ht="15.75" customHeight="1">
      <c r="A332" s="29" t="str">
        <f t="shared" si="4"/>
        <v/>
      </c>
      <c r="B332" s="11"/>
      <c r="C332" s="11"/>
      <c r="D332" s="11"/>
      <c r="E332" s="21"/>
      <c r="F332" s="66"/>
      <c r="G332" s="11"/>
    </row>
    <row r="333" ht="15.75" customHeight="1">
      <c r="A333" s="28" t="str">
        <f t="shared" si="4"/>
        <v/>
      </c>
      <c r="B333" s="9"/>
      <c r="C333" s="9"/>
      <c r="D333" s="9"/>
      <c r="E333" s="14"/>
      <c r="F333" s="54"/>
      <c r="G333" s="9"/>
    </row>
    <row r="334" ht="15.75" customHeight="1">
      <c r="A334" s="29" t="str">
        <f t="shared" si="4"/>
        <v/>
      </c>
      <c r="B334" s="11"/>
      <c r="C334" s="11"/>
      <c r="D334" s="11"/>
      <c r="E334" s="21"/>
      <c r="F334" s="66"/>
      <c r="G334" s="11"/>
    </row>
    <row r="335" ht="15.75" customHeight="1">
      <c r="A335" s="28" t="str">
        <f t="shared" si="4"/>
        <v/>
      </c>
      <c r="B335" s="9"/>
      <c r="C335" s="9"/>
      <c r="D335" s="9"/>
      <c r="E335" s="14"/>
      <c r="F335" s="54"/>
      <c r="G335" s="9"/>
    </row>
    <row r="336" ht="15.75" customHeight="1">
      <c r="A336" s="29" t="str">
        <f t="shared" si="4"/>
        <v/>
      </c>
      <c r="B336" s="11"/>
      <c r="C336" s="11"/>
      <c r="D336" s="11"/>
      <c r="E336" s="21"/>
      <c r="F336" s="66"/>
      <c r="G336" s="11"/>
    </row>
    <row r="337" ht="15.75" customHeight="1">
      <c r="A337" s="28" t="str">
        <f t="shared" si="4"/>
        <v/>
      </c>
      <c r="B337" s="9"/>
      <c r="C337" s="9"/>
      <c r="D337" s="9"/>
      <c r="E337" s="14"/>
      <c r="F337" s="54"/>
      <c r="G337" s="9"/>
    </row>
    <row r="338" ht="15.75" customHeight="1">
      <c r="A338" s="29" t="str">
        <f t="shared" si="4"/>
        <v/>
      </c>
      <c r="B338" s="11"/>
      <c r="C338" s="11"/>
      <c r="D338" s="11"/>
      <c r="E338" s="21"/>
      <c r="F338" s="66"/>
      <c r="G338" s="11"/>
    </row>
    <row r="339" ht="15.75" customHeight="1">
      <c r="A339" s="28" t="str">
        <f t="shared" si="4"/>
        <v/>
      </c>
      <c r="B339" s="9"/>
      <c r="C339" s="9"/>
      <c r="D339" s="9"/>
      <c r="E339" s="14"/>
      <c r="F339" s="54"/>
      <c r="G339" s="9"/>
    </row>
    <row r="340" ht="15.75" customHeight="1">
      <c r="A340" s="29" t="str">
        <f t="shared" si="4"/>
        <v/>
      </c>
      <c r="B340" s="11"/>
      <c r="C340" s="11"/>
      <c r="D340" s="11"/>
      <c r="E340" s="21"/>
      <c r="F340" s="66"/>
      <c r="G340" s="11"/>
    </row>
    <row r="341" ht="15.75" customHeight="1">
      <c r="A341" s="28" t="str">
        <f t="shared" si="4"/>
        <v/>
      </c>
      <c r="B341" s="9"/>
      <c r="C341" s="9"/>
      <c r="D341" s="9"/>
      <c r="E341" s="14"/>
      <c r="F341" s="54"/>
      <c r="G341" s="9"/>
    </row>
    <row r="342" ht="15.75" customHeight="1">
      <c r="A342" s="29" t="str">
        <f t="shared" si="4"/>
        <v/>
      </c>
      <c r="B342" s="11"/>
      <c r="C342" s="11"/>
      <c r="D342" s="11"/>
      <c r="E342" s="21"/>
      <c r="F342" s="66"/>
      <c r="G342" s="11"/>
    </row>
    <row r="343" ht="15.75" customHeight="1">
      <c r="A343" s="28" t="str">
        <f t="shared" si="4"/>
        <v/>
      </c>
      <c r="B343" s="9"/>
      <c r="C343" s="9"/>
      <c r="D343" s="9"/>
      <c r="E343" s="14"/>
      <c r="F343" s="54"/>
      <c r="G343" s="9"/>
    </row>
    <row r="344" ht="15.75" customHeight="1">
      <c r="A344" s="29" t="str">
        <f t="shared" si="4"/>
        <v/>
      </c>
      <c r="B344" s="11"/>
      <c r="C344" s="11"/>
      <c r="D344" s="11"/>
      <c r="E344" s="21"/>
      <c r="F344" s="66"/>
      <c r="G344" s="11"/>
    </row>
    <row r="345" ht="15.75" customHeight="1">
      <c r="A345" s="28" t="str">
        <f t="shared" si="4"/>
        <v/>
      </c>
      <c r="B345" s="9"/>
      <c r="C345" s="9"/>
      <c r="D345" s="9"/>
      <c r="E345" s="14"/>
      <c r="F345" s="54"/>
      <c r="G345" s="9"/>
    </row>
    <row r="346" ht="15.75" customHeight="1">
      <c r="A346" s="29" t="str">
        <f t="shared" si="4"/>
        <v/>
      </c>
      <c r="B346" s="11"/>
      <c r="C346" s="11"/>
      <c r="D346" s="11"/>
      <c r="E346" s="21"/>
      <c r="F346" s="66"/>
      <c r="G346" s="11"/>
    </row>
    <row r="347" ht="15.75" customHeight="1">
      <c r="A347" s="28" t="str">
        <f t="shared" si="4"/>
        <v/>
      </c>
      <c r="B347" s="9"/>
      <c r="C347" s="9"/>
      <c r="D347" s="9"/>
      <c r="E347" s="14"/>
      <c r="F347" s="54"/>
      <c r="G347" s="9"/>
    </row>
    <row r="348" ht="15.75" customHeight="1">
      <c r="A348" s="29" t="str">
        <f t="shared" si="4"/>
        <v/>
      </c>
      <c r="B348" s="11"/>
      <c r="C348" s="11"/>
      <c r="D348" s="11"/>
      <c r="E348" s="21"/>
      <c r="F348" s="66"/>
      <c r="G348" s="11"/>
    </row>
    <row r="349" ht="15.75" customHeight="1">
      <c r="A349" s="28" t="str">
        <f t="shared" si="4"/>
        <v/>
      </c>
      <c r="B349" s="9"/>
      <c r="C349" s="9"/>
      <c r="D349" s="9"/>
      <c r="E349" s="14"/>
      <c r="F349" s="54"/>
      <c r="G349" s="9"/>
    </row>
    <row r="350" ht="15.75" customHeight="1">
      <c r="A350" s="29" t="str">
        <f t="shared" si="4"/>
        <v/>
      </c>
      <c r="B350" s="11"/>
      <c r="C350" s="11"/>
      <c r="D350" s="11"/>
      <c r="E350" s="21"/>
      <c r="F350" s="66"/>
      <c r="G350" s="11"/>
    </row>
    <row r="351" ht="15.75" customHeight="1">
      <c r="A351" s="28" t="str">
        <f t="shared" si="4"/>
        <v/>
      </c>
      <c r="B351" s="9"/>
      <c r="C351" s="9"/>
      <c r="D351" s="9"/>
      <c r="E351" s="14"/>
      <c r="F351" s="54"/>
      <c r="G351" s="9"/>
    </row>
    <row r="352" ht="15.75" customHeight="1">
      <c r="A352" s="29" t="str">
        <f t="shared" si="4"/>
        <v/>
      </c>
      <c r="B352" s="11"/>
      <c r="C352" s="11"/>
      <c r="D352" s="11"/>
      <c r="E352" s="21"/>
      <c r="F352" s="66"/>
      <c r="G352" s="11"/>
    </row>
    <row r="353" ht="15.75" customHeight="1">
      <c r="A353" s="28" t="str">
        <f t="shared" si="4"/>
        <v/>
      </c>
      <c r="B353" s="9"/>
      <c r="C353" s="9"/>
      <c r="D353" s="9"/>
      <c r="E353" s="14"/>
      <c r="F353" s="54"/>
      <c r="G353" s="9"/>
    </row>
    <row r="354" ht="15.75" customHeight="1">
      <c r="A354" s="29" t="str">
        <f t="shared" si="4"/>
        <v/>
      </c>
      <c r="B354" s="11"/>
      <c r="C354" s="11"/>
      <c r="D354" s="11"/>
      <c r="E354" s="21"/>
      <c r="F354" s="66"/>
      <c r="G354" s="11"/>
    </row>
    <row r="355" ht="15.75" customHeight="1">
      <c r="A355" s="28" t="str">
        <f t="shared" si="4"/>
        <v/>
      </c>
      <c r="B355" s="9"/>
      <c r="C355" s="9"/>
      <c r="D355" s="9"/>
      <c r="E355" s="14"/>
      <c r="F355" s="54"/>
      <c r="G355" s="9"/>
    </row>
    <row r="356" ht="15.75" customHeight="1">
      <c r="A356" s="29" t="str">
        <f t="shared" si="4"/>
        <v/>
      </c>
      <c r="B356" s="11"/>
      <c r="C356" s="11"/>
      <c r="D356" s="11"/>
      <c r="E356" s="21"/>
      <c r="F356" s="66"/>
      <c r="G356" s="11"/>
    </row>
    <row r="357" ht="15.75" customHeight="1">
      <c r="A357" s="28" t="str">
        <f t="shared" si="4"/>
        <v/>
      </c>
      <c r="B357" s="9"/>
      <c r="C357" s="9"/>
      <c r="D357" s="9"/>
      <c r="E357" s="14"/>
      <c r="F357" s="54"/>
      <c r="G357" s="9"/>
    </row>
    <row r="358" ht="15.75" customHeight="1">
      <c r="A358" s="29" t="str">
        <f t="shared" si="4"/>
        <v/>
      </c>
      <c r="B358" s="11"/>
      <c r="C358" s="11"/>
      <c r="D358" s="11"/>
      <c r="E358" s="21"/>
      <c r="F358" s="66"/>
      <c r="G358" s="11"/>
    </row>
    <row r="359" ht="15.75" customHeight="1">
      <c r="A359" s="28" t="str">
        <f t="shared" si="4"/>
        <v/>
      </c>
      <c r="B359" s="9"/>
      <c r="C359" s="9"/>
      <c r="D359" s="9"/>
      <c r="E359" s="14"/>
      <c r="F359" s="54"/>
      <c r="G359" s="9"/>
    </row>
    <row r="360" ht="15.75" customHeight="1">
      <c r="A360" s="29" t="str">
        <f t="shared" si="4"/>
        <v/>
      </c>
      <c r="B360" s="11"/>
      <c r="C360" s="11"/>
      <c r="D360" s="11"/>
      <c r="E360" s="21"/>
      <c r="F360" s="66"/>
      <c r="G360" s="11"/>
    </row>
    <row r="361" ht="15.75" customHeight="1">
      <c r="A361" s="28" t="str">
        <f t="shared" si="4"/>
        <v/>
      </c>
      <c r="B361" s="9"/>
      <c r="C361" s="9"/>
      <c r="D361" s="9"/>
      <c r="E361" s="14"/>
      <c r="F361" s="54"/>
      <c r="G361" s="9"/>
    </row>
    <row r="362" ht="15.75" customHeight="1">
      <c r="A362" s="29" t="str">
        <f t="shared" si="4"/>
        <v/>
      </c>
      <c r="B362" s="11"/>
      <c r="C362" s="11"/>
      <c r="D362" s="11"/>
      <c r="E362" s="21"/>
      <c r="F362" s="66"/>
      <c r="G362" s="11"/>
    </row>
    <row r="363" ht="15.75" customHeight="1">
      <c r="A363" s="28" t="str">
        <f t="shared" si="4"/>
        <v/>
      </c>
      <c r="B363" s="9"/>
      <c r="C363" s="9"/>
      <c r="D363" s="9"/>
      <c r="E363" s="14"/>
      <c r="F363" s="54"/>
      <c r="G363" s="9"/>
    </row>
    <row r="364" ht="15.75" customHeight="1">
      <c r="A364" s="29" t="str">
        <f t="shared" si="4"/>
        <v/>
      </c>
      <c r="B364" s="11"/>
      <c r="C364" s="11"/>
      <c r="D364" s="11"/>
      <c r="E364" s="21"/>
      <c r="F364" s="66"/>
      <c r="G364" s="11"/>
    </row>
    <row r="365" ht="15.75" customHeight="1">
      <c r="A365" s="28" t="str">
        <f t="shared" si="4"/>
        <v/>
      </c>
      <c r="B365" s="9"/>
      <c r="C365" s="9"/>
      <c r="D365" s="9"/>
      <c r="E365" s="14"/>
      <c r="F365" s="54"/>
      <c r="G365" s="9"/>
    </row>
    <row r="366" ht="15.75" customHeight="1">
      <c r="A366" s="29" t="str">
        <f t="shared" si="4"/>
        <v/>
      </c>
      <c r="B366" s="11"/>
      <c r="C366" s="11"/>
      <c r="D366" s="11"/>
      <c r="E366" s="21"/>
      <c r="F366" s="66"/>
      <c r="G366" s="11"/>
    </row>
    <row r="367" ht="15.75" customHeight="1">
      <c r="A367" s="28" t="str">
        <f t="shared" si="4"/>
        <v/>
      </c>
      <c r="B367" s="9"/>
      <c r="C367" s="9"/>
      <c r="D367" s="9"/>
      <c r="E367" s="14"/>
      <c r="F367" s="54"/>
      <c r="G367" s="9"/>
    </row>
    <row r="368" ht="15.75" customHeight="1">
      <c r="A368" s="29" t="str">
        <f t="shared" si="4"/>
        <v/>
      </c>
      <c r="B368" s="11"/>
      <c r="C368" s="11"/>
      <c r="D368" s="11"/>
      <c r="E368" s="21"/>
      <c r="F368" s="66"/>
      <c r="G368" s="11"/>
    </row>
    <row r="369" ht="15.75" customHeight="1">
      <c r="A369" s="28" t="str">
        <f t="shared" si="4"/>
        <v/>
      </c>
      <c r="B369" s="9"/>
      <c r="C369" s="9"/>
      <c r="D369" s="9"/>
      <c r="E369" s="14"/>
      <c r="F369" s="54"/>
      <c r="G369" s="9"/>
    </row>
    <row r="370" ht="15.75" customHeight="1">
      <c r="A370" s="29" t="str">
        <f t="shared" si="4"/>
        <v/>
      </c>
      <c r="B370" s="11"/>
      <c r="C370" s="11"/>
      <c r="D370" s="11"/>
      <c r="E370" s="21"/>
      <c r="F370" s="66"/>
      <c r="G370" s="11"/>
    </row>
    <row r="371" ht="15.75" customHeight="1">
      <c r="A371" s="28" t="str">
        <f t="shared" si="4"/>
        <v/>
      </c>
      <c r="B371" s="9"/>
      <c r="C371" s="9"/>
      <c r="D371" s="9"/>
      <c r="E371" s="14"/>
      <c r="F371" s="54"/>
      <c r="G371" s="9"/>
    </row>
    <row r="372" ht="15.75" customHeight="1">
      <c r="A372" s="29" t="str">
        <f t="shared" si="4"/>
        <v/>
      </c>
      <c r="B372" s="11"/>
      <c r="C372" s="11"/>
      <c r="D372" s="11"/>
      <c r="E372" s="21"/>
      <c r="F372" s="66"/>
      <c r="G372" s="11"/>
    </row>
    <row r="373" ht="15.75" customHeight="1">
      <c r="A373" s="28" t="str">
        <f t="shared" si="4"/>
        <v/>
      </c>
      <c r="B373" s="9"/>
      <c r="C373" s="9"/>
      <c r="D373" s="9"/>
      <c r="E373" s="14"/>
      <c r="F373" s="54"/>
      <c r="G373" s="9"/>
    </row>
    <row r="374" ht="15.75" customHeight="1">
      <c r="A374" s="29" t="str">
        <f t="shared" si="4"/>
        <v/>
      </c>
      <c r="B374" s="11"/>
      <c r="C374" s="11"/>
      <c r="D374" s="11"/>
      <c r="E374" s="21"/>
      <c r="F374" s="66"/>
      <c r="G374" s="11"/>
    </row>
    <row r="375" ht="15.75" customHeight="1">
      <c r="A375" s="28" t="str">
        <f t="shared" si="4"/>
        <v/>
      </c>
      <c r="B375" s="9"/>
      <c r="C375" s="9"/>
      <c r="D375" s="9"/>
      <c r="E375" s="14"/>
      <c r="F375" s="54"/>
      <c r="G375" s="9"/>
    </row>
    <row r="376" ht="15.75" customHeight="1">
      <c r="A376" s="29" t="str">
        <f t="shared" si="4"/>
        <v/>
      </c>
      <c r="B376" s="11"/>
      <c r="C376" s="11"/>
      <c r="D376" s="11"/>
      <c r="E376" s="21"/>
      <c r="F376" s="66"/>
      <c r="G376" s="11"/>
    </row>
    <row r="377" ht="15.75" customHeight="1">
      <c r="A377" s="28" t="str">
        <f t="shared" si="4"/>
        <v/>
      </c>
      <c r="B377" s="9"/>
      <c r="C377" s="9"/>
      <c r="D377" s="9"/>
      <c r="E377" s="14"/>
      <c r="F377" s="54"/>
      <c r="G377" s="9"/>
    </row>
    <row r="378" ht="15.75" customHeight="1">
      <c r="A378" s="29" t="str">
        <f t="shared" si="4"/>
        <v/>
      </c>
      <c r="B378" s="11"/>
      <c r="C378" s="11"/>
      <c r="D378" s="11"/>
      <c r="E378" s="21"/>
      <c r="F378" s="66"/>
      <c r="G378" s="11"/>
    </row>
    <row r="379" ht="15.75" customHeight="1">
      <c r="A379" s="28" t="str">
        <f t="shared" si="4"/>
        <v/>
      </c>
      <c r="B379" s="9"/>
      <c r="C379" s="9"/>
      <c r="D379" s="9"/>
      <c r="E379" s="14"/>
      <c r="F379" s="54"/>
      <c r="G379" s="9"/>
    </row>
    <row r="380" ht="15.75" customHeight="1">
      <c r="A380" s="29" t="str">
        <f t="shared" si="4"/>
        <v/>
      </c>
      <c r="B380" s="11"/>
      <c r="C380" s="11"/>
      <c r="D380" s="11"/>
      <c r="E380" s="21"/>
      <c r="F380" s="66"/>
      <c r="G380" s="11"/>
    </row>
    <row r="381" ht="15.75" customHeight="1">
      <c r="A381" s="28" t="str">
        <f t="shared" si="4"/>
        <v/>
      </c>
      <c r="B381" s="9"/>
      <c r="C381" s="9"/>
      <c r="D381" s="9"/>
      <c r="E381" s="14"/>
      <c r="F381" s="54"/>
      <c r="G381" s="9"/>
    </row>
    <row r="382" ht="15.75" customHeight="1">
      <c r="A382" s="29" t="str">
        <f t="shared" si="4"/>
        <v/>
      </c>
      <c r="B382" s="11"/>
      <c r="C382" s="11"/>
      <c r="D382" s="11"/>
      <c r="E382" s="21"/>
      <c r="F382" s="66"/>
      <c r="G382" s="11"/>
    </row>
    <row r="383" ht="15.75" customHeight="1">
      <c r="A383" s="28" t="str">
        <f t="shared" si="4"/>
        <v/>
      </c>
      <c r="B383" s="9"/>
      <c r="C383" s="9"/>
      <c r="D383" s="9"/>
      <c r="E383" s="14"/>
      <c r="F383" s="54"/>
      <c r="G383" s="9"/>
    </row>
    <row r="384" ht="15.75" customHeight="1">
      <c r="A384" s="29" t="str">
        <f t="shared" si="4"/>
        <v/>
      </c>
      <c r="B384" s="11"/>
      <c r="C384" s="11"/>
      <c r="D384" s="11"/>
      <c r="E384" s="21"/>
      <c r="F384" s="66"/>
      <c r="G384" s="11"/>
    </row>
    <row r="385" ht="15.75" customHeight="1">
      <c r="A385" s="28" t="str">
        <f t="shared" si="4"/>
        <v/>
      </c>
      <c r="B385" s="9"/>
      <c r="C385" s="9"/>
      <c r="D385" s="9"/>
      <c r="E385" s="14"/>
      <c r="F385" s="54"/>
      <c r="G385" s="9"/>
    </row>
    <row r="386" ht="15.75" customHeight="1">
      <c r="A386" s="29" t="str">
        <f t="shared" si="4"/>
        <v/>
      </c>
      <c r="B386" s="11"/>
      <c r="C386" s="11"/>
      <c r="D386" s="11"/>
      <c r="E386" s="21"/>
      <c r="F386" s="66"/>
      <c r="G386" s="11"/>
    </row>
    <row r="387" ht="15.75" customHeight="1">
      <c r="A387" s="28" t="str">
        <f t="shared" si="4"/>
        <v/>
      </c>
      <c r="B387" s="9"/>
      <c r="C387" s="9"/>
      <c r="D387" s="9"/>
      <c r="E387" s="14"/>
      <c r="F387" s="54"/>
      <c r="G387" s="9"/>
    </row>
    <row r="388" ht="15.75" customHeight="1">
      <c r="A388" s="29" t="str">
        <f t="shared" si="4"/>
        <v/>
      </c>
      <c r="B388" s="11"/>
      <c r="C388" s="11"/>
      <c r="D388" s="11"/>
      <c r="E388" s="21"/>
      <c r="F388" s="66"/>
      <c r="G388" s="11"/>
    </row>
    <row r="389" ht="15.75" customHeight="1">
      <c r="A389" s="28" t="str">
        <f t="shared" si="4"/>
        <v/>
      </c>
      <c r="B389" s="9"/>
      <c r="C389" s="9"/>
      <c r="D389" s="9"/>
      <c r="E389" s="14"/>
      <c r="F389" s="54"/>
      <c r="G389" s="9"/>
    </row>
    <row r="390" ht="15.75" customHeight="1">
      <c r="A390" s="29" t="str">
        <f t="shared" si="4"/>
        <v/>
      </c>
      <c r="B390" s="11"/>
      <c r="C390" s="11"/>
      <c r="D390" s="11"/>
      <c r="E390" s="21"/>
      <c r="F390" s="66"/>
      <c r="G390" s="11"/>
    </row>
    <row r="391" ht="15.75" customHeight="1">
      <c r="A391" s="28" t="str">
        <f t="shared" si="4"/>
        <v/>
      </c>
      <c r="B391" s="9"/>
      <c r="C391" s="9"/>
      <c r="D391" s="9"/>
      <c r="E391" s="14"/>
      <c r="F391" s="54"/>
      <c r="G391" s="9"/>
    </row>
    <row r="392" ht="15.75" customHeight="1">
      <c r="A392" s="29" t="str">
        <f t="shared" si="4"/>
        <v/>
      </c>
      <c r="B392" s="11"/>
      <c r="C392" s="11"/>
      <c r="D392" s="11"/>
      <c r="E392" s="21"/>
      <c r="F392" s="66"/>
      <c r="G392" s="11"/>
    </row>
    <row r="393" ht="15.75" customHeight="1">
      <c r="A393" s="28" t="str">
        <f t="shared" si="4"/>
        <v/>
      </c>
      <c r="B393" s="9"/>
      <c r="C393" s="9"/>
      <c r="D393" s="9"/>
      <c r="E393" s="14"/>
      <c r="F393" s="54"/>
      <c r="G393" s="9"/>
    </row>
    <row r="394" ht="15.75" customHeight="1">
      <c r="A394" s="29" t="str">
        <f t="shared" si="4"/>
        <v/>
      </c>
      <c r="B394" s="11"/>
      <c r="C394" s="11"/>
      <c r="D394" s="11"/>
      <c r="E394" s="21"/>
      <c r="F394" s="66"/>
      <c r="G394" s="11"/>
    </row>
    <row r="395" ht="15.75" customHeight="1">
      <c r="A395" s="28" t="str">
        <f t="shared" si="4"/>
        <v/>
      </c>
      <c r="B395" s="9"/>
      <c r="C395" s="9"/>
      <c r="D395" s="9"/>
      <c r="E395" s="14"/>
      <c r="F395" s="54"/>
      <c r="G395" s="9"/>
    </row>
    <row r="396" ht="15.75" customHeight="1">
      <c r="A396" s="29" t="str">
        <f t="shared" si="4"/>
        <v/>
      </c>
      <c r="B396" s="11"/>
      <c r="C396" s="11"/>
      <c r="D396" s="11"/>
      <c r="E396" s="21"/>
      <c r="F396" s="66"/>
      <c r="G396" s="11"/>
    </row>
    <row r="397" ht="15.75" customHeight="1">
      <c r="A397" s="28" t="str">
        <f t="shared" si="4"/>
        <v/>
      </c>
      <c r="B397" s="9"/>
      <c r="C397" s="9"/>
      <c r="D397" s="9"/>
      <c r="E397" s="14"/>
      <c r="F397" s="54"/>
      <c r="G397" s="9"/>
    </row>
    <row r="398" ht="15.75" customHeight="1">
      <c r="A398" s="29" t="str">
        <f t="shared" si="4"/>
        <v/>
      </c>
      <c r="B398" s="11"/>
      <c r="C398" s="11"/>
      <c r="D398" s="11"/>
      <c r="E398" s="21"/>
      <c r="F398" s="66"/>
      <c r="G398" s="11"/>
    </row>
    <row r="399" ht="15.75" customHeight="1">
      <c r="A399" s="28" t="str">
        <f t="shared" si="4"/>
        <v/>
      </c>
      <c r="B399" s="9"/>
      <c r="C399" s="9"/>
      <c r="D399" s="9"/>
      <c r="E399" s="14"/>
      <c r="F399" s="54"/>
      <c r="G399" s="9"/>
    </row>
    <row r="400" ht="15.75" customHeight="1">
      <c r="A400" s="29" t="str">
        <f t="shared" si="4"/>
        <v/>
      </c>
      <c r="B400" s="11"/>
      <c r="C400" s="11"/>
      <c r="D400" s="11"/>
      <c r="E400" s="21"/>
      <c r="F400" s="66"/>
      <c r="G400" s="11"/>
    </row>
    <row r="401" ht="15.75" customHeight="1">
      <c r="A401" s="28" t="str">
        <f t="shared" si="4"/>
        <v/>
      </c>
      <c r="B401" s="9"/>
      <c r="C401" s="9"/>
      <c r="D401" s="9"/>
      <c r="E401" s="14"/>
      <c r="F401" s="54"/>
      <c r="G401" s="9"/>
    </row>
    <row r="402" ht="15.75" customHeight="1">
      <c r="A402" s="29" t="str">
        <f t="shared" si="4"/>
        <v/>
      </c>
      <c r="B402" s="11"/>
      <c r="C402" s="11"/>
      <c r="D402" s="11"/>
      <c r="E402" s="21"/>
      <c r="F402" s="66"/>
      <c r="G402" s="11"/>
    </row>
    <row r="403" ht="15.75" customHeight="1">
      <c r="A403" s="28" t="str">
        <f t="shared" si="4"/>
        <v/>
      </c>
      <c r="B403" s="9"/>
      <c r="C403" s="9"/>
      <c r="D403" s="9"/>
      <c r="E403" s="14"/>
      <c r="F403" s="54"/>
      <c r="G403" s="9"/>
    </row>
    <row r="404" ht="15.75" customHeight="1">
      <c r="A404" s="29" t="str">
        <f t="shared" si="4"/>
        <v/>
      </c>
      <c r="B404" s="11"/>
      <c r="C404" s="11"/>
      <c r="D404" s="11"/>
      <c r="E404" s="21"/>
      <c r="F404" s="66"/>
      <c r="G404" s="11"/>
    </row>
    <row r="405" ht="15.75" customHeight="1">
      <c r="A405" s="28" t="str">
        <f t="shared" si="4"/>
        <v/>
      </c>
      <c r="B405" s="9"/>
      <c r="C405" s="9"/>
      <c r="D405" s="9"/>
      <c r="E405" s="14"/>
      <c r="F405" s="54"/>
      <c r="G405" s="9"/>
    </row>
    <row r="406" ht="15.75" customHeight="1">
      <c r="A406" s="29" t="str">
        <f t="shared" si="4"/>
        <v/>
      </c>
      <c r="B406" s="11"/>
      <c r="C406" s="11"/>
      <c r="D406" s="11"/>
      <c r="E406" s="21"/>
      <c r="F406" s="66"/>
      <c r="G406" s="11"/>
    </row>
    <row r="407" ht="15.75" customHeight="1">
      <c r="A407" s="28" t="str">
        <f t="shared" si="4"/>
        <v/>
      </c>
      <c r="B407" s="9"/>
      <c r="C407" s="9"/>
      <c r="D407" s="9"/>
      <c r="E407" s="14"/>
      <c r="F407" s="54"/>
      <c r="G407" s="9"/>
    </row>
    <row r="408" ht="15.75" customHeight="1">
      <c r="A408" s="29" t="str">
        <f t="shared" si="4"/>
        <v/>
      </c>
      <c r="B408" s="11"/>
      <c r="C408" s="11"/>
      <c r="D408" s="11"/>
      <c r="E408" s="21"/>
      <c r="F408" s="66"/>
      <c r="G408" s="11"/>
    </row>
    <row r="409" ht="15.75" customHeight="1">
      <c r="A409" s="28" t="str">
        <f t="shared" si="4"/>
        <v/>
      </c>
      <c r="B409" s="9"/>
      <c r="C409" s="9"/>
      <c r="D409" s="9"/>
      <c r="E409" s="14"/>
      <c r="F409" s="54"/>
      <c r="G409" s="9"/>
    </row>
    <row r="410" ht="15.75" customHeight="1">
      <c r="A410" s="29" t="str">
        <f t="shared" si="4"/>
        <v/>
      </c>
      <c r="B410" s="11"/>
      <c r="C410" s="11"/>
      <c r="D410" s="11"/>
      <c r="E410" s="21"/>
      <c r="F410" s="66"/>
      <c r="G410" s="11"/>
    </row>
    <row r="411" ht="15.75" customHeight="1">
      <c r="A411" s="28" t="str">
        <f t="shared" si="4"/>
        <v/>
      </c>
      <c r="B411" s="9"/>
      <c r="C411" s="9"/>
      <c r="D411" s="9"/>
      <c r="E411" s="14"/>
      <c r="F411" s="54"/>
      <c r="G411" s="9"/>
    </row>
    <row r="412" ht="15.75" customHeight="1">
      <c r="A412" s="29" t="str">
        <f t="shared" si="4"/>
        <v/>
      </c>
      <c r="B412" s="11"/>
      <c r="C412" s="11"/>
      <c r="D412" s="11"/>
      <c r="E412" s="21"/>
      <c r="F412" s="66"/>
      <c r="G412" s="11"/>
    </row>
    <row r="413" ht="15.75" customHeight="1">
      <c r="A413" s="28" t="str">
        <f t="shared" si="4"/>
        <v/>
      </c>
      <c r="B413" s="9"/>
      <c r="C413" s="9"/>
      <c r="D413" s="9"/>
      <c r="E413" s="14"/>
      <c r="F413" s="54"/>
      <c r="G413" s="9"/>
    </row>
    <row r="414" ht="15.75" customHeight="1">
      <c r="A414" s="29" t="str">
        <f t="shared" si="4"/>
        <v/>
      </c>
      <c r="B414" s="11"/>
      <c r="C414" s="11"/>
      <c r="D414" s="11"/>
      <c r="E414" s="21"/>
      <c r="F414" s="66"/>
      <c r="G414" s="11"/>
    </row>
    <row r="415" ht="15.75" customHeight="1">
      <c r="A415" s="28" t="str">
        <f t="shared" si="4"/>
        <v/>
      </c>
      <c r="B415" s="9"/>
      <c r="C415" s="9"/>
      <c r="D415" s="9"/>
      <c r="E415" s="14"/>
      <c r="F415" s="54"/>
      <c r="G415" s="9"/>
    </row>
    <row r="416" ht="15.75" customHeight="1">
      <c r="A416" s="29" t="str">
        <f t="shared" si="4"/>
        <v/>
      </c>
      <c r="B416" s="11"/>
      <c r="C416" s="11"/>
      <c r="D416" s="11"/>
      <c r="E416" s="21"/>
      <c r="F416" s="66"/>
      <c r="G416" s="11"/>
    </row>
    <row r="417" ht="15.75" customHeight="1">
      <c r="A417" s="28" t="str">
        <f t="shared" si="4"/>
        <v/>
      </c>
      <c r="B417" s="9"/>
      <c r="C417" s="9"/>
      <c r="D417" s="9"/>
      <c r="E417" s="14"/>
      <c r="F417" s="54"/>
      <c r="G417" s="9"/>
    </row>
    <row r="418" ht="15.75" customHeight="1">
      <c r="A418" s="29" t="str">
        <f t="shared" si="4"/>
        <v/>
      </c>
      <c r="B418" s="11"/>
      <c r="C418" s="11"/>
      <c r="D418" s="11"/>
      <c r="E418" s="21"/>
      <c r="F418" s="66"/>
      <c r="G418" s="11"/>
    </row>
    <row r="419" ht="15.75" customHeight="1">
      <c r="A419" s="28" t="str">
        <f t="shared" si="4"/>
        <v/>
      </c>
      <c r="B419" s="9"/>
      <c r="C419" s="9"/>
      <c r="D419" s="9"/>
      <c r="E419" s="14"/>
      <c r="F419" s="54"/>
      <c r="G419" s="9"/>
    </row>
    <row r="420" ht="15.75" customHeight="1">
      <c r="A420" s="29" t="str">
        <f t="shared" si="4"/>
        <v/>
      </c>
      <c r="B420" s="11"/>
      <c r="C420" s="11"/>
      <c r="D420" s="11"/>
      <c r="E420" s="21"/>
      <c r="F420" s="66"/>
      <c r="G420" s="11"/>
    </row>
    <row r="421" ht="15.75" customHeight="1">
      <c r="A421" s="28" t="str">
        <f t="shared" si="4"/>
        <v/>
      </c>
      <c r="B421" s="9"/>
      <c r="C421" s="9"/>
      <c r="D421" s="9"/>
      <c r="E421" s="14"/>
      <c r="F421" s="54"/>
      <c r="G421" s="9"/>
    </row>
    <row r="422" ht="15.75" customHeight="1">
      <c r="A422" s="29" t="str">
        <f t="shared" si="4"/>
        <v/>
      </c>
      <c r="B422" s="11"/>
      <c r="C422" s="11"/>
      <c r="D422" s="11"/>
      <c r="E422" s="21"/>
      <c r="F422" s="66"/>
      <c r="G422" s="11"/>
    </row>
    <row r="423" ht="15.75" customHeight="1">
      <c r="A423" s="28" t="str">
        <f t="shared" si="4"/>
        <v/>
      </c>
      <c r="B423" s="9"/>
      <c r="C423" s="9"/>
      <c r="D423" s="9"/>
      <c r="E423" s="14"/>
      <c r="F423" s="54"/>
      <c r="G423" s="9"/>
    </row>
    <row r="424" ht="15.75" customHeight="1">
      <c r="A424" s="29" t="str">
        <f t="shared" si="4"/>
        <v/>
      </c>
      <c r="B424" s="11"/>
      <c r="C424" s="11"/>
      <c r="D424" s="11"/>
      <c r="E424" s="21"/>
      <c r="F424" s="66"/>
      <c r="G424" s="11"/>
    </row>
    <row r="425" ht="15.75" customHeight="1">
      <c r="A425" s="28" t="str">
        <f t="shared" si="4"/>
        <v/>
      </c>
      <c r="B425" s="9"/>
      <c r="C425" s="9"/>
      <c r="D425" s="9"/>
      <c r="E425" s="14"/>
      <c r="F425" s="54"/>
      <c r="G425" s="9"/>
    </row>
    <row r="426" ht="15.75" customHeight="1">
      <c r="A426" s="29" t="str">
        <f t="shared" si="4"/>
        <v/>
      </c>
      <c r="B426" s="11"/>
      <c r="C426" s="11"/>
      <c r="D426" s="11"/>
      <c r="E426" s="21"/>
      <c r="F426" s="66"/>
      <c r="G426" s="11"/>
    </row>
    <row r="427" ht="15.75" customHeight="1">
      <c r="A427" s="28" t="str">
        <f t="shared" si="4"/>
        <v/>
      </c>
      <c r="B427" s="9"/>
      <c r="C427" s="9"/>
      <c r="D427" s="9"/>
      <c r="E427" s="14"/>
      <c r="F427" s="54"/>
      <c r="G427" s="9"/>
    </row>
    <row r="428" ht="15.75" customHeight="1">
      <c r="A428" s="29" t="str">
        <f t="shared" si="4"/>
        <v/>
      </c>
      <c r="B428" s="11"/>
      <c r="C428" s="11"/>
      <c r="D428" s="11"/>
      <c r="E428" s="21"/>
      <c r="F428" s="66"/>
      <c r="G428" s="11"/>
    </row>
    <row r="429" ht="15.75" customHeight="1">
      <c r="A429" s="28" t="str">
        <f t="shared" si="4"/>
        <v/>
      </c>
      <c r="B429" s="9"/>
      <c r="C429" s="9"/>
      <c r="D429" s="9"/>
      <c r="E429" s="14"/>
      <c r="F429" s="54"/>
      <c r="G429" s="9"/>
    </row>
    <row r="430" ht="15.75" customHeight="1">
      <c r="A430" s="29" t="str">
        <f t="shared" si="4"/>
        <v/>
      </c>
      <c r="B430" s="11"/>
      <c r="C430" s="11"/>
      <c r="D430" s="11"/>
      <c r="E430" s="21"/>
      <c r="F430" s="66"/>
      <c r="G430" s="11"/>
    </row>
    <row r="431" ht="15.75" customHeight="1">
      <c r="A431" s="28" t="str">
        <f t="shared" si="4"/>
        <v/>
      </c>
      <c r="B431" s="9"/>
      <c r="C431" s="9"/>
      <c r="D431" s="9"/>
      <c r="E431" s="14"/>
      <c r="F431" s="54"/>
      <c r="G431" s="9"/>
    </row>
    <row r="432" ht="15.75" customHeight="1">
      <c r="A432" s="29" t="str">
        <f t="shared" si="4"/>
        <v/>
      </c>
      <c r="B432" s="11"/>
      <c r="C432" s="11"/>
      <c r="D432" s="11"/>
      <c r="E432" s="21"/>
      <c r="F432" s="66"/>
      <c r="G432" s="11"/>
    </row>
    <row r="433" ht="15.75" customHeight="1">
      <c r="A433" s="28" t="str">
        <f t="shared" si="4"/>
        <v/>
      </c>
      <c r="B433" s="9"/>
      <c r="C433" s="9"/>
      <c r="D433" s="9"/>
      <c r="E433" s="14"/>
      <c r="F433" s="54"/>
      <c r="G433" s="9"/>
    </row>
    <row r="434" ht="15.75" customHeight="1">
      <c r="A434" s="29" t="str">
        <f t="shared" si="4"/>
        <v/>
      </c>
      <c r="B434" s="11"/>
      <c r="C434" s="11"/>
      <c r="D434" s="11"/>
      <c r="E434" s="21"/>
      <c r="F434" s="66"/>
      <c r="G434" s="11"/>
    </row>
    <row r="435" ht="15.75" customHeight="1">
      <c r="A435" s="28" t="str">
        <f t="shared" si="4"/>
        <v/>
      </c>
      <c r="B435" s="9"/>
      <c r="C435" s="9"/>
      <c r="D435" s="9"/>
      <c r="E435" s="14"/>
      <c r="F435" s="54"/>
      <c r="G435" s="9"/>
    </row>
    <row r="436" ht="15.75" customHeight="1">
      <c r="A436" s="29" t="str">
        <f t="shared" si="4"/>
        <v/>
      </c>
      <c r="B436" s="11"/>
      <c r="C436" s="11"/>
      <c r="D436" s="11"/>
      <c r="E436" s="21"/>
      <c r="F436" s="66"/>
      <c r="G436" s="11"/>
    </row>
    <row r="437" ht="15.75" customHeight="1">
      <c r="A437" s="28" t="str">
        <f t="shared" si="4"/>
        <v/>
      </c>
      <c r="B437" s="9"/>
      <c r="C437" s="9"/>
      <c r="D437" s="9"/>
      <c r="E437" s="14"/>
      <c r="F437" s="54"/>
      <c r="G437" s="9"/>
    </row>
    <row r="438" ht="15.75" customHeight="1">
      <c r="A438" s="29" t="str">
        <f t="shared" si="4"/>
        <v/>
      </c>
      <c r="B438" s="11"/>
      <c r="C438" s="11"/>
      <c r="D438" s="11"/>
      <c r="E438" s="21"/>
      <c r="F438" s="66"/>
      <c r="G438" s="11"/>
    </row>
    <row r="439" ht="15.75" customHeight="1">
      <c r="A439" s="28" t="str">
        <f t="shared" si="4"/>
        <v/>
      </c>
      <c r="B439" s="9"/>
      <c r="C439" s="9"/>
      <c r="D439" s="9"/>
      <c r="E439" s="14"/>
      <c r="F439" s="54"/>
      <c r="G439" s="9"/>
    </row>
    <row r="440" ht="15.75" customHeight="1">
      <c r="A440" s="29" t="str">
        <f t="shared" si="4"/>
        <v/>
      </c>
      <c r="B440" s="11"/>
      <c r="C440" s="11"/>
      <c r="D440" s="11"/>
      <c r="E440" s="21"/>
      <c r="F440" s="66"/>
      <c r="G440" s="11"/>
    </row>
    <row r="441" ht="15.75" customHeight="1">
      <c r="A441" s="28" t="str">
        <f t="shared" si="4"/>
        <v/>
      </c>
      <c r="B441" s="9"/>
      <c r="C441" s="9"/>
      <c r="D441" s="9"/>
      <c r="E441" s="14"/>
      <c r="F441" s="54"/>
      <c r="G441" s="9"/>
    </row>
    <row r="442" ht="15.75" customHeight="1">
      <c r="A442" s="29" t="str">
        <f t="shared" si="4"/>
        <v/>
      </c>
      <c r="B442" s="11"/>
      <c r="C442" s="11"/>
      <c r="D442" s="11"/>
      <c r="E442" s="21"/>
      <c r="F442" s="66"/>
      <c r="G442" s="11"/>
    </row>
    <row r="443" ht="15.75" customHeight="1">
      <c r="A443" s="28" t="str">
        <f t="shared" si="4"/>
        <v/>
      </c>
      <c r="B443" s="9"/>
      <c r="C443" s="9"/>
      <c r="D443" s="9"/>
      <c r="E443" s="14"/>
      <c r="F443" s="54"/>
      <c r="G443" s="9"/>
    </row>
    <row r="444" ht="15.75" customHeight="1">
      <c r="A444" s="29" t="str">
        <f t="shared" si="4"/>
        <v/>
      </c>
      <c r="B444" s="11"/>
      <c r="C444" s="11"/>
      <c r="D444" s="11"/>
      <c r="E444" s="21"/>
      <c r="F444" s="66"/>
      <c r="G444" s="11"/>
    </row>
    <row r="445" ht="15.75" customHeight="1">
      <c r="A445" s="28" t="str">
        <f t="shared" si="4"/>
        <v/>
      </c>
      <c r="B445" s="9"/>
      <c r="C445" s="9"/>
      <c r="D445" s="9"/>
      <c r="E445" s="14"/>
      <c r="F445" s="54"/>
      <c r="G445" s="9"/>
    </row>
    <row r="446" ht="15.75" customHeight="1">
      <c r="A446" s="29" t="str">
        <f t="shared" si="4"/>
        <v/>
      </c>
      <c r="B446" s="11"/>
      <c r="C446" s="11"/>
      <c r="D446" s="11"/>
      <c r="E446" s="21"/>
      <c r="F446" s="66"/>
      <c r="G446" s="11"/>
    </row>
    <row r="447" ht="15.75" customHeight="1">
      <c r="A447" s="28" t="str">
        <f t="shared" si="4"/>
        <v/>
      </c>
      <c r="B447" s="9"/>
      <c r="C447" s="9"/>
      <c r="D447" s="9"/>
      <c r="E447" s="14"/>
      <c r="F447" s="54"/>
      <c r="G447" s="9"/>
    </row>
    <row r="448" ht="15.75" customHeight="1">
      <c r="A448" s="29" t="str">
        <f t="shared" si="4"/>
        <v/>
      </c>
      <c r="B448" s="11"/>
      <c r="C448" s="11"/>
      <c r="D448" s="11"/>
      <c r="E448" s="21"/>
      <c r="F448" s="66"/>
      <c r="G448" s="11"/>
    </row>
    <row r="449" ht="15.75" customHeight="1">
      <c r="A449" s="28" t="str">
        <f t="shared" si="4"/>
        <v/>
      </c>
      <c r="B449" s="9"/>
      <c r="C449" s="9"/>
      <c r="D449" s="9"/>
      <c r="E449" s="14"/>
      <c r="F449" s="54"/>
      <c r="G449" s="9"/>
    </row>
    <row r="450" ht="15.75" customHeight="1">
      <c r="A450" s="29" t="str">
        <f t="shared" si="4"/>
        <v/>
      </c>
      <c r="B450" s="11"/>
      <c r="C450" s="11"/>
      <c r="D450" s="11"/>
      <c r="E450" s="21"/>
      <c r="F450" s="66"/>
      <c r="G450" s="11"/>
    </row>
    <row r="451" ht="15.75" customHeight="1">
      <c r="A451" s="28" t="str">
        <f t="shared" si="4"/>
        <v/>
      </c>
      <c r="B451" s="9"/>
      <c r="C451" s="9"/>
      <c r="D451" s="9"/>
      <c r="E451" s="14"/>
      <c r="F451" s="54"/>
      <c r="G451" s="9"/>
    </row>
    <row r="452" ht="15.75" customHeight="1">
      <c r="A452" s="29" t="str">
        <f t="shared" si="4"/>
        <v/>
      </c>
      <c r="B452" s="11"/>
      <c r="C452" s="11"/>
      <c r="D452" s="11"/>
      <c r="E452" s="21"/>
      <c r="F452" s="66"/>
      <c r="G452" s="11"/>
    </row>
    <row r="453" ht="15.75" customHeight="1">
      <c r="A453" s="28" t="str">
        <f t="shared" si="4"/>
        <v/>
      </c>
      <c r="B453" s="9"/>
      <c r="C453" s="9"/>
      <c r="D453" s="9"/>
      <c r="E453" s="14"/>
      <c r="F453" s="54"/>
      <c r="G453" s="9"/>
    </row>
    <row r="454" ht="15.75" customHeight="1">
      <c r="A454" s="29" t="str">
        <f t="shared" si="4"/>
        <v/>
      </c>
      <c r="B454" s="11"/>
      <c r="C454" s="11"/>
      <c r="D454" s="11"/>
      <c r="E454" s="21"/>
      <c r="F454" s="66"/>
      <c r="G454" s="11"/>
    </row>
    <row r="455" ht="15.75" customHeight="1">
      <c r="A455" s="28" t="str">
        <f t="shared" si="4"/>
        <v/>
      </c>
      <c r="B455" s="9"/>
      <c r="C455" s="9"/>
      <c r="D455" s="9"/>
      <c r="E455" s="14"/>
      <c r="F455" s="54"/>
      <c r="G455" s="9"/>
    </row>
    <row r="456" ht="15.75" customHeight="1">
      <c r="A456" s="29" t="str">
        <f t="shared" si="4"/>
        <v/>
      </c>
      <c r="B456" s="11"/>
      <c r="C456" s="11"/>
      <c r="D456" s="11"/>
      <c r="E456" s="21"/>
      <c r="F456" s="66"/>
      <c r="G456" s="11"/>
    </row>
    <row r="457" ht="15.75" customHeight="1">
      <c r="A457" s="28" t="str">
        <f t="shared" si="4"/>
        <v/>
      </c>
      <c r="B457" s="9"/>
      <c r="C457" s="9"/>
      <c r="D457" s="9"/>
      <c r="E457" s="14"/>
      <c r="F457" s="54"/>
      <c r="G457" s="9"/>
    </row>
    <row r="458" ht="15.75" customHeight="1">
      <c r="A458" s="29" t="str">
        <f t="shared" si="4"/>
        <v/>
      </c>
      <c r="B458" s="11"/>
      <c r="C458" s="11"/>
      <c r="D458" s="11"/>
      <c r="E458" s="21"/>
      <c r="F458" s="66"/>
      <c r="G458" s="11"/>
    </row>
    <row r="459" ht="15.75" customHeight="1">
      <c r="A459" s="28" t="str">
        <f t="shared" si="4"/>
        <v/>
      </c>
      <c r="B459" s="9"/>
      <c r="C459" s="9"/>
      <c r="D459" s="9"/>
      <c r="E459" s="14"/>
      <c r="F459" s="54"/>
      <c r="G459" s="9"/>
    </row>
    <row r="460" ht="15.75" customHeight="1">
      <c r="F460" s="88"/>
    </row>
    <row r="461" ht="15.75" customHeight="1">
      <c r="F461" s="88"/>
    </row>
    <row r="462" ht="15.75" customHeight="1">
      <c r="F462" s="88"/>
    </row>
    <row r="463" ht="15.75" customHeight="1">
      <c r="F463" s="88"/>
    </row>
    <row r="464" ht="15.75" customHeight="1">
      <c r="F464" s="88"/>
    </row>
    <row r="465" ht="15.75" customHeight="1">
      <c r="F465" s="88"/>
    </row>
    <row r="466" ht="15.75" customHeight="1">
      <c r="F466" s="88"/>
    </row>
    <row r="467" ht="15.75" customHeight="1">
      <c r="F467" s="88"/>
    </row>
    <row r="468" ht="15.75" customHeight="1">
      <c r="F468" s="88"/>
    </row>
    <row r="469" ht="15.75" customHeight="1">
      <c r="F469" s="88"/>
    </row>
    <row r="470" ht="15.75" customHeight="1">
      <c r="F470" s="88"/>
    </row>
    <row r="471" ht="15.75" customHeight="1">
      <c r="F471" s="88"/>
    </row>
    <row r="472" ht="15.75" customHeight="1">
      <c r="F472" s="88"/>
    </row>
    <row r="473" ht="15.75" customHeight="1">
      <c r="F473" s="88"/>
    </row>
    <row r="474" ht="15.75" customHeight="1">
      <c r="F474" s="88"/>
    </row>
    <row r="475" ht="15.75" customHeight="1">
      <c r="F475" s="88"/>
    </row>
    <row r="476" ht="15.75" customHeight="1">
      <c r="F476" s="88"/>
    </row>
    <row r="477" ht="15.75" customHeight="1">
      <c r="F477" s="88"/>
    </row>
    <row r="478" ht="15.75" customHeight="1">
      <c r="F478" s="88"/>
    </row>
    <row r="479" ht="15.75" customHeight="1">
      <c r="F479" s="88"/>
    </row>
    <row r="480" ht="15.75" customHeight="1">
      <c r="F480" s="88"/>
    </row>
    <row r="481" ht="15.75" customHeight="1">
      <c r="F481" s="88"/>
    </row>
    <row r="482" ht="15.75" customHeight="1">
      <c r="F482" s="88"/>
    </row>
    <row r="483" ht="15.75" customHeight="1">
      <c r="F483" s="88"/>
    </row>
    <row r="484" ht="15.75" customHeight="1">
      <c r="F484" s="88"/>
    </row>
    <row r="485" ht="15.75" customHeight="1">
      <c r="F485" s="88"/>
    </row>
    <row r="486" ht="15.75" customHeight="1">
      <c r="F486" s="88"/>
    </row>
    <row r="487" ht="15.75" customHeight="1">
      <c r="F487" s="88"/>
    </row>
    <row r="488" ht="15.75" customHeight="1">
      <c r="F488" s="88"/>
    </row>
    <row r="489" ht="15.75" customHeight="1">
      <c r="F489" s="88"/>
    </row>
    <row r="490" ht="15.75" customHeight="1">
      <c r="F490" s="88"/>
    </row>
    <row r="491" ht="15.75" customHeight="1">
      <c r="F491" s="88"/>
    </row>
    <row r="492" ht="15.75" customHeight="1">
      <c r="F492" s="88"/>
    </row>
    <row r="493" ht="15.75" customHeight="1">
      <c r="F493" s="88"/>
    </row>
    <row r="494" ht="15.75" customHeight="1">
      <c r="F494" s="88"/>
    </row>
    <row r="495" ht="15.75" customHeight="1">
      <c r="F495" s="88"/>
    </row>
    <row r="496" ht="15.75" customHeight="1">
      <c r="F496" s="88"/>
    </row>
    <row r="497" ht="15.75" customHeight="1">
      <c r="F497" s="88"/>
    </row>
    <row r="498" ht="15.75" customHeight="1">
      <c r="F498" s="88"/>
    </row>
    <row r="499" ht="15.75" customHeight="1">
      <c r="F499" s="88"/>
    </row>
    <row r="500" ht="15.75" customHeight="1">
      <c r="F500" s="88"/>
    </row>
    <row r="501" ht="15.75" customHeight="1">
      <c r="F501" s="88"/>
    </row>
    <row r="502" ht="15.75" customHeight="1">
      <c r="F502" s="88"/>
    </row>
    <row r="503" ht="15.75" customHeight="1">
      <c r="F503" s="88"/>
    </row>
    <row r="504" ht="15.75" customHeight="1">
      <c r="F504" s="88"/>
    </row>
    <row r="505" ht="15.75" customHeight="1">
      <c r="F505" s="88"/>
    </row>
    <row r="506" ht="15.75" customHeight="1">
      <c r="F506" s="88"/>
    </row>
    <row r="507" ht="15.75" customHeight="1">
      <c r="F507" s="88"/>
    </row>
    <row r="508" ht="15.75" customHeight="1">
      <c r="F508" s="88"/>
    </row>
    <row r="509" ht="15.75" customHeight="1">
      <c r="F509" s="88"/>
    </row>
    <row r="510" ht="15.75" customHeight="1">
      <c r="F510" s="88"/>
    </row>
    <row r="511" ht="15.75" customHeight="1">
      <c r="F511" s="88"/>
    </row>
    <row r="512" ht="15.75" customHeight="1">
      <c r="F512" s="88"/>
    </row>
    <row r="513" ht="15.75" customHeight="1">
      <c r="F513" s="88"/>
    </row>
    <row r="514" ht="15.75" customHeight="1">
      <c r="F514" s="88"/>
    </row>
    <row r="515" ht="15.75" customHeight="1">
      <c r="F515" s="88"/>
    </row>
    <row r="516" ht="15.75" customHeight="1">
      <c r="F516" s="88"/>
    </row>
    <row r="517" ht="15.75" customHeight="1">
      <c r="F517" s="88"/>
    </row>
    <row r="518" ht="15.75" customHeight="1">
      <c r="F518" s="88"/>
    </row>
    <row r="519" ht="15.75" customHeight="1">
      <c r="F519" s="88"/>
    </row>
    <row r="520" ht="15.75" customHeight="1">
      <c r="F520" s="88"/>
    </row>
    <row r="521" ht="15.75" customHeight="1">
      <c r="F521" s="88"/>
    </row>
    <row r="522" ht="15.75" customHeight="1">
      <c r="F522" s="88"/>
    </row>
    <row r="523" ht="15.75" customHeight="1">
      <c r="F523" s="88"/>
    </row>
    <row r="524" ht="15.75" customHeight="1">
      <c r="F524" s="88"/>
    </row>
    <row r="525" ht="15.75" customHeight="1">
      <c r="F525" s="88"/>
    </row>
    <row r="526" ht="15.75" customHeight="1">
      <c r="F526" s="88"/>
    </row>
    <row r="527" ht="15.75" customHeight="1">
      <c r="F527" s="88"/>
    </row>
    <row r="528" ht="15.75" customHeight="1">
      <c r="F528" s="88"/>
    </row>
    <row r="529" ht="15.75" customHeight="1">
      <c r="F529" s="88"/>
    </row>
    <row r="530" ht="15.75" customHeight="1">
      <c r="F530" s="88"/>
    </row>
    <row r="531" ht="15.75" customHeight="1">
      <c r="F531" s="88"/>
    </row>
    <row r="532" ht="15.75" customHeight="1">
      <c r="F532" s="88"/>
    </row>
    <row r="533" ht="15.75" customHeight="1">
      <c r="F533" s="88"/>
    </row>
    <row r="534" ht="15.75" customHeight="1">
      <c r="F534" s="88"/>
    </row>
    <row r="535" ht="15.75" customHeight="1">
      <c r="F535" s="88"/>
    </row>
    <row r="536" ht="15.75" customHeight="1">
      <c r="F536" s="88"/>
    </row>
    <row r="537" ht="15.75" customHeight="1">
      <c r="F537" s="88"/>
    </row>
    <row r="538" ht="15.75" customHeight="1">
      <c r="F538" s="88"/>
    </row>
    <row r="539" ht="15.75" customHeight="1">
      <c r="F539" s="88"/>
    </row>
    <row r="540" ht="15.75" customHeight="1">
      <c r="F540" s="88"/>
    </row>
    <row r="541" ht="15.75" customHeight="1">
      <c r="F541" s="88"/>
    </row>
    <row r="542" ht="15.75" customHeight="1">
      <c r="F542" s="88"/>
    </row>
    <row r="543" ht="15.75" customHeight="1">
      <c r="F543" s="88"/>
    </row>
    <row r="544" ht="15.75" customHeight="1">
      <c r="F544" s="88"/>
    </row>
    <row r="545" ht="15.75" customHeight="1">
      <c r="F545" s="88"/>
    </row>
    <row r="546" ht="15.75" customHeight="1">
      <c r="F546" s="88"/>
    </row>
    <row r="547" ht="15.75" customHeight="1">
      <c r="F547" s="88"/>
    </row>
    <row r="548" ht="15.75" customHeight="1">
      <c r="F548" s="88"/>
    </row>
    <row r="549" ht="15.75" customHeight="1">
      <c r="F549" s="88"/>
    </row>
    <row r="550" ht="15.75" customHeight="1">
      <c r="F550" s="88"/>
    </row>
    <row r="551" ht="15.75" customHeight="1">
      <c r="F551" s="88"/>
    </row>
    <row r="552" ht="15.75" customHeight="1">
      <c r="F552" s="88"/>
    </row>
    <row r="553" ht="15.75" customHeight="1">
      <c r="F553" s="88"/>
    </row>
    <row r="554" ht="15.75" customHeight="1">
      <c r="F554" s="88"/>
    </row>
    <row r="555" ht="15.75" customHeight="1">
      <c r="F555" s="88"/>
    </row>
    <row r="556" ht="15.75" customHeight="1">
      <c r="F556" s="88"/>
    </row>
    <row r="557" ht="15.75" customHeight="1">
      <c r="F557" s="88"/>
    </row>
    <row r="558" ht="15.75" customHeight="1">
      <c r="F558" s="88"/>
    </row>
    <row r="559" ht="15.75" customHeight="1">
      <c r="F559" s="88"/>
    </row>
    <row r="560" ht="15.75" customHeight="1">
      <c r="F560" s="88"/>
    </row>
    <row r="561" ht="15.75" customHeight="1">
      <c r="F561" s="88"/>
    </row>
    <row r="562" ht="15.75" customHeight="1">
      <c r="F562" s="88"/>
    </row>
    <row r="563" ht="15.75" customHeight="1">
      <c r="F563" s="88"/>
    </row>
    <row r="564" ht="15.75" customHeight="1">
      <c r="F564" s="88"/>
    </row>
    <row r="565" ht="15.75" customHeight="1">
      <c r="F565" s="88"/>
    </row>
    <row r="566" ht="15.75" customHeight="1">
      <c r="F566" s="88"/>
    </row>
    <row r="567" ht="15.75" customHeight="1">
      <c r="F567" s="88"/>
    </row>
    <row r="568" ht="15.75" customHeight="1">
      <c r="F568" s="88"/>
    </row>
    <row r="569" ht="15.75" customHeight="1">
      <c r="F569" s="88"/>
    </row>
    <row r="570" ht="15.75" customHeight="1">
      <c r="F570" s="88"/>
    </row>
    <row r="571" ht="15.75" customHeight="1">
      <c r="F571" s="88"/>
    </row>
    <row r="572" ht="15.75" customHeight="1">
      <c r="F572" s="88"/>
    </row>
    <row r="573" ht="15.75" customHeight="1">
      <c r="F573" s="88"/>
    </row>
    <row r="574" ht="15.75" customHeight="1">
      <c r="F574" s="88"/>
    </row>
    <row r="575" ht="15.75" customHeight="1">
      <c r="F575" s="88"/>
    </row>
    <row r="576" ht="15.75" customHeight="1">
      <c r="F576" s="88"/>
    </row>
    <row r="577" ht="15.75" customHeight="1">
      <c r="F577" s="88"/>
    </row>
    <row r="578" ht="15.75" customHeight="1">
      <c r="F578" s="88"/>
    </row>
    <row r="579" ht="15.75" customHeight="1">
      <c r="F579" s="88"/>
    </row>
    <row r="580" ht="15.75" customHeight="1">
      <c r="F580" s="88"/>
    </row>
    <row r="581" ht="15.75" customHeight="1">
      <c r="F581" s="88"/>
    </row>
    <row r="582" ht="15.75" customHeight="1">
      <c r="F582" s="88"/>
    </row>
    <row r="583" ht="15.75" customHeight="1">
      <c r="F583" s="88"/>
    </row>
    <row r="584" ht="15.75" customHeight="1">
      <c r="F584" s="88"/>
    </row>
    <row r="585" ht="15.75" customHeight="1">
      <c r="F585" s="88"/>
    </row>
    <row r="586" ht="15.75" customHeight="1">
      <c r="F586" s="88"/>
    </row>
    <row r="587" ht="15.75" customHeight="1">
      <c r="F587" s="88"/>
    </row>
    <row r="588" ht="15.75" customHeight="1">
      <c r="F588" s="88"/>
    </row>
    <row r="589" ht="15.75" customHeight="1">
      <c r="F589" s="88"/>
    </row>
    <row r="590" ht="15.75" customHeight="1">
      <c r="F590" s="88"/>
    </row>
    <row r="591" ht="15.75" customHeight="1">
      <c r="F591" s="88"/>
    </row>
    <row r="592" ht="15.75" customHeight="1">
      <c r="F592" s="88"/>
    </row>
    <row r="593" ht="15.75" customHeight="1">
      <c r="F593" s="88"/>
    </row>
    <row r="594" ht="15.75" customHeight="1">
      <c r="F594" s="88"/>
    </row>
    <row r="595" ht="15.75" customHeight="1">
      <c r="F595" s="88"/>
    </row>
    <row r="596" ht="15.75" customHeight="1">
      <c r="F596" s="88"/>
    </row>
    <row r="597" ht="15.75" customHeight="1">
      <c r="F597" s="88"/>
    </row>
    <row r="598" ht="15.75" customHeight="1">
      <c r="F598" s="88"/>
    </row>
    <row r="599" ht="15.75" customHeight="1">
      <c r="F599" s="88"/>
    </row>
    <row r="600" ht="15.75" customHeight="1">
      <c r="F600" s="88"/>
    </row>
    <row r="601" ht="15.75" customHeight="1">
      <c r="F601" s="88"/>
    </row>
    <row r="602" ht="15.75" customHeight="1">
      <c r="F602" s="88"/>
    </row>
    <row r="603" ht="15.75" customHeight="1">
      <c r="F603" s="88"/>
    </row>
    <row r="604" ht="15.75" customHeight="1">
      <c r="F604" s="88"/>
    </row>
    <row r="605" ht="15.75" customHeight="1">
      <c r="F605" s="88"/>
    </row>
    <row r="606" ht="15.75" customHeight="1">
      <c r="F606" s="88"/>
    </row>
    <row r="607" ht="15.75" customHeight="1">
      <c r="F607" s="88"/>
    </row>
    <row r="608" ht="15.75" customHeight="1">
      <c r="F608" s="88"/>
    </row>
    <row r="609" ht="15.75" customHeight="1">
      <c r="F609" s="88"/>
    </row>
    <row r="610" ht="15.75" customHeight="1">
      <c r="F610" s="88"/>
    </row>
    <row r="611" ht="15.75" customHeight="1">
      <c r="F611" s="88"/>
    </row>
    <row r="612" ht="15.75" customHeight="1">
      <c r="F612" s="88"/>
    </row>
    <row r="613" ht="15.75" customHeight="1">
      <c r="F613" s="88"/>
    </row>
    <row r="614" ht="15.75" customHeight="1">
      <c r="F614" s="88"/>
    </row>
    <row r="615" ht="15.75" customHeight="1">
      <c r="F615" s="88"/>
    </row>
    <row r="616" ht="15.75" customHeight="1">
      <c r="F616" s="88"/>
    </row>
    <row r="617" ht="15.75" customHeight="1">
      <c r="F617" s="88"/>
    </row>
    <row r="618" ht="15.75" customHeight="1">
      <c r="F618" s="88"/>
    </row>
    <row r="619" ht="15.75" customHeight="1">
      <c r="F619" s="88"/>
    </row>
    <row r="620" ht="15.75" customHeight="1">
      <c r="F620" s="88"/>
    </row>
    <row r="621" ht="15.75" customHeight="1">
      <c r="F621" s="88"/>
    </row>
    <row r="622" ht="15.75" customHeight="1">
      <c r="F622" s="88"/>
    </row>
    <row r="623" ht="15.75" customHeight="1">
      <c r="F623" s="88"/>
    </row>
    <row r="624" ht="15.75" customHeight="1">
      <c r="F624" s="88"/>
    </row>
    <row r="625" ht="15.75" customHeight="1">
      <c r="F625" s="88"/>
    </row>
    <row r="626" ht="15.75" customHeight="1">
      <c r="F626" s="88"/>
    </row>
    <row r="627" ht="15.75" customHeight="1">
      <c r="F627" s="88"/>
    </row>
    <row r="628" ht="15.75" customHeight="1">
      <c r="F628" s="88"/>
    </row>
    <row r="629" ht="15.75" customHeight="1">
      <c r="F629" s="88"/>
    </row>
    <row r="630" ht="15.75" customHeight="1">
      <c r="F630" s="88"/>
    </row>
    <row r="631" ht="15.75" customHeight="1">
      <c r="F631" s="88"/>
    </row>
    <row r="632" ht="15.75" customHeight="1">
      <c r="F632" s="88"/>
    </row>
    <row r="633" ht="15.75" customHeight="1">
      <c r="F633" s="88"/>
    </row>
    <row r="634" ht="15.75" customHeight="1">
      <c r="F634" s="88"/>
    </row>
    <row r="635" ht="15.75" customHeight="1">
      <c r="F635" s="88"/>
    </row>
    <row r="636" ht="15.75" customHeight="1">
      <c r="F636" s="88"/>
    </row>
    <row r="637" ht="15.75" customHeight="1">
      <c r="F637" s="88"/>
    </row>
    <row r="638" ht="15.75" customHeight="1">
      <c r="F638" s="88"/>
    </row>
    <row r="639" ht="15.75" customHeight="1">
      <c r="F639" s="88"/>
    </row>
    <row r="640" ht="15.75" customHeight="1">
      <c r="F640" s="88"/>
    </row>
    <row r="641" ht="15.75" customHeight="1">
      <c r="F641" s="88"/>
    </row>
    <row r="642" ht="15.75" customHeight="1">
      <c r="F642" s="88"/>
    </row>
    <row r="643" ht="15.75" customHeight="1">
      <c r="F643" s="88"/>
    </row>
    <row r="644" ht="15.75" customHeight="1">
      <c r="F644" s="88"/>
    </row>
    <row r="645" ht="15.75" customHeight="1">
      <c r="F645" s="88"/>
    </row>
    <row r="646" ht="15.75" customHeight="1">
      <c r="F646" s="88"/>
    </row>
    <row r="647" ht="15.75" customHeight="1">
      <c r="F647" s="88"/>
    </row>
    <row r="648" ht="15.75" customHeight="1">
      <c r="F648" s="88"/>
    </row>
    <row r="649" ht="15.75" customHeight="1">
      <c r="F649" s="88"/>
    </row>
    <row r="650" ht="15.75" customHeight="1">
      <c r="F650" s="88"/>
    </row>
    <row r="651" ht="15.75" customHeight="1">
      <c r="F651" s="88"/>
    </row>
    <row r="652" ht="15.75" customHeight="1">
      <c r="F652" s="88"/>
    </row>
    <row r="653" ht="15.75" customHeight="1">
      <c r="F653" s="88"/>
    </row>
    <row r="654" ht="15.75" customHeight="1">
      <c r="F654" s="88"/>
    </row>
    <row r="655" ht="15.75" customHeight="1">
      <c r="F655" s="88"/>
    </row>
    <row r="656" ht="15.75" customHeight="1">
      <c r="F656" s="88"/>
    </row>
    <row r="657" ht="15.75" customHeight="1">
      <c r="F657" s="88"/>
    </row>
    <row r="658" ht="15.75" customHeight="1">
      <c r="F658" s="88"/>
    </row>
    <row r="659" ht="15.75" customHeight="1">
      <c r="F659" s="88"/>
    </row>
    <row r="660" ht="15.75" customHeight="1">
      <c r="F660" s="88"/>
    </row>
    <row r="661" ht="15.75" customHeight="1">
      <c r="F661" s="88"/>
    </row>
    <row r="662" ht="15.75" customHeight="1">
      <c r="F662" s="88"/>
    </row>
    <row r="663" ht="15.75" customHeight="1">
      <c r="F663" s="88"/>
    </row>
    <row r="664" ht="15.75" customHeight="1">
      <c r="F664" s="88"/>
    </row>
    <row r="665" ht="15.75" customHeight="1">
      <c r="F665" s="88"/>
    </row>
    <row r="666" ht="15.75" customHeight="1">
      <c r="F666" s="88"/>
    </row>
    <row r="667" ht="15.75" customHeight="1">
      <c r="F667" s="88"/>
    </row>
    <row r="668" ht="15.75" customHeight="1">
      <c r="F668" s="88"/>
    </row>
    <row r="669" ht="15.75" customHeight="1">
      <c r="F669" s="88"/>
    </row>
    <row r="670" ht="15.75" customHeight="1">
      <c r="F670" s="88"/>
    </row>
    <row r="671" ht="15.75" customHeight="1">
      <c r="F671" s="88"/>
    </row>
    <row r="672" ht="15.75" customHeight="1">
      <c r="F672" s="88"/>
    </row>
    <row r="673" ht="15.75" customHeight="1">
      <c r="F673" s="88"/>
    </row>
    <row r="674" ht="15.75" customHeight="1">
      <c r="F674" s="88"/>
    </row>
    <row r="675" ht="15.75" customHeight="1">
      <c r="F675" s="88"/>
    </row>
    <row r="676" ht="15.75" customHeight="1">
      <c r="F676" s="88"/>
    </row>
    <row r="677" ht="15.75" customHeight="1">
      <c r="F677" s="88"/>
    </row>
    <row r="678" ht="15.75" customHeight="1">
      <c r="F678" s="88"/>
    </row>
    <row r="679" ht="15.75" customHeight="1">
      <c r="F679" s="88"/>
    </row>
    <row r="680" ht="15.75" customHeight="1">
      <c r="F680" s="88"/>
    </row>
    <row r="681" ht="15.75" customHeight="1">
      <c r="F681" s="88"/>
    </row>
    <row r="682" ht="15.75" customHeight="1">
      <c r="F682" s="88"/>
    </row>
    <row r="683" ht="15.75" customHeight="1">
      <c r="F683" s="88"/>
    </row>
    <row r="684" ht="15.75" customHeight="1">
      <c r="F684" s="88"/>
    </row>
    <row r="685" ht="15.75" customHeight="1">
      <c r="F685" s="88"/>
    </row>
    <row r="686" ht="15.75" customHeight="1">
      <c r="F686" s="88"/>
    </row>
    <row r="687" ht="15.75" customHeight="1">
      <c r="F687" s="88"/>
    </row>
    <row r="688" ht="15.75" customHeight="1">
      <c r="F688" s="88"/>
    </row>
    <row r="689" ht="15.75" customHeight="1">
      <c r="F689" s="88"/>
    </row>
    <row r="690" ht="15.75" customHeight="1">
      <c r="F690" s="88"/>
    </row>
    <row r="691" ht="15.75" customHeight="1">
      <c r="F691" s="88"/>
    </row>
    <row r="692" ht="15.75" customHeight="1">
      <c r="F692" s="88"/>
    </row>
    <row r="693" ht="15.75" customHeight="1">
      <c r="F693" s="88"/>
    </row>
    <row r="694" ht="15.75" customHeight="1">
      <c r="F694" s="88"/>
    </row>
    <row r="695" ht="15.75" customHeight="1">
      <c r="F695" s="88"/>
    </row>
    <row r="696" ht="15.75" customHeight="1">
      <c r="F696" s="88"/>
    </row>
    <row r="697" ht="15.75" customHeight="1">
      <c r="F697" s="88"/>
    </row>
    <row r="698" ht="15.75" customHeight="1">
      <c r="F698" s="88"/>
    </row>
    <row r="699" ht="15.75" customHeight="1">
      <c r="F699" s="88"/>
    </row>
    <row r="700" ht="15.75" customHeight="1">
      <c r="F700" s="88"/>
    </row>
    <row r="701" ht="15.75" customHeight="1">
      <c r="F701" s="88"/>
    </row>
    <row r="702" ht="15.75" customHeight="1">
      <c r="F702" s="88"/>
    </row>
    <row r="703" ht="15.75" customHeight="1">
      <c r="F703" s="88"/>
    </row>
    <row r="704" ht="15.75" customHeight="1">
      <c r="F704" s="88"/>
    </row>
    <row r="705" ht="15.75" customHeight="1">
      <c r="F705" s="88"/>
    </row>
    <row r="706" ht="15.75" customHeight="1">
      <c r="F706" s="88"/>
    </row>
    <row r="707" ht="15.75" customHeight="1">
      <c r="F707" s="88"/>
    </row>
    <row r="708" ht="15.75" customHeight="1">
      <c r="F708" s="88"/>
    </row>
    <row r="709" ht="15.75" customHeight="1">
      <c r="F709" s="88"/>
    </row>
    <row r="710" ht="15.75" customHeight="1">
      <c r="F710" s="88"/>
    </row>
    <row r="711" ht="15.75" customHeight="1">
      <c r="F711" s="88"/>
    </row>
    <row r="712" ht="15.75" customHeight="1">
      <c r="F712" s="88"/>
    </row>
    <row r="713" ht="15.75" customHeight="1">
      <c r="F713" s="88"/>
    </row>
    <row r="714" ht="15.75" customHeight="1">
      <c r="F714" s="88"/>
    </row>
    <row r="715" ht="15.75" customHeight="1">
      <c r="F715" s="88"/>
    </row>
    <row r="716" ht="15.75" customHeight="1">
      <c r="F716" s="88"/>
    </row>
    <row r="717" ht="15.75" customHeight="1">
      <c r="F717" s="88"/>
    </row>
    <row r="718" ht="15.75" customHeight="1">
      <c r="F718" s="88"/>
    </row>
    <row r="719" ht="15.75" customHeight="1">
      <c r="F719" s="88"/>
    </row>
    <row r="720" ht="15.75" customHeight="1">
      <c r="F720" s="88"/>
    </row>
    <row r="721" ht="15.75" customHeight="1">
      <c r="F721" s="88"/>
    </row>
    <row r="722" ht="15.75" customHeight="1">
      <c r="F722" s="88"/>
    </row>
    <row r="723" ht="15.75" customHeight="1">
      <c r="F723" s="88"/>
    </row>
    <row r="724" ht="15.75" customHeight="1">
      <c r="F724" s="88"/>
    </row>
    <row r="725" ht="15.75" customHeight="1">
      <c r="F725" s="88"/>
    </row>
    <row r="726" ht="15.75" customHeight="1">
      <c r="F726" s="88"/>
    </row>
    <row r="727" ht="15.75" customHeight="1">
      <c r="F727" s="88"/>
    </row>
    <row r="728" ht="15.75" customHeight="1">
      <c r="F728" s="88"/>
    </row>
    <row r="729" ht="15.75" customHeight="1">
      <c r="F729" s="88"/>
    </row>
    <row r="730" ht="15.75" customHeight="1">
      <c r="F730" s="88"/>
    </row>
    <row r="731" ht="15.75" customHeight="1">
      <c r="F731" s="88"/>
    </row>
    <row r="732" ht="15.75" customHeight="1">
      <c r="F732" s="88"/>
    </row>
    <row r="733" ht="15.75" customHeight="1">
      <c r="F733" s="88"/>
    </row>
    <row r="734" ht="15.75" customHeight="1">
      <c r="F734" s="88"/>
    </row>
    <row r="735" ht="15.75" customHeight="1">
      <c r="F735" s="88"/>
    </row>
    <row r="736" ht="15.75" customHeight="1">
      <c r="F736" s="88"/>
    </row>
    <row r="737" ht="15.75" customHeight="1">
      <c r="F737" s="88"/>
    </row>
    <row r="738" ht="15.75" customHeight="1">
      <c r="F738" s="88"/>
    </row>
    <row r="739" ht="15.75" customHeight="1">
      <c r="F739" s="88"/>
    </row>
    <row r="740" ht="15.75" customHeight="1">
      <c r="F740" s="88"/>
    </row>
    <row r="741" ht="15.75" customHeight="1">
      <c r="F741" s="88"/>
    </row>
    <row r="742" ht="15.75" customHeight="1">
      <c r="F742" s="88"/>
    </row>
    <row r="743" ht="15.75" customHeight="1">
      <c r="F743" s="88"/>
    </row>
    <row r="744" ht="15.75" customHeight="1">
      <c r="F744" s="88"/>
    </row>
    <row r="745" ht="15.75" customHeight="1">
      <c r="F745" s="88"/>
    </row>
    <row r="746" ht="15.75" customHeight="1">
      <c r="F746" s="88"/>
    </row>
    <row r="747" ht="15.75" customHeight="1">
      <c r="F747" s="88"/>
    </row>
    <row r="748" ht="15.75" customHeight="1">
      <c r="F748" s="88"/>
    </row>
    <row r="749" ht="15.75" customHeight="1">
      <c r="F749" s="88"/>
    </row>
    <row r="750" ht="15.75" customHeight="1">
      <c r="F750" s="88"/>
    </row>
    <row r="751" ht="15.75" customHeight="1">
      <c r="F751" s="88"/>
    </row>
    <row r="752" ht="15.75" customHeight="1">
      <c r="F752" s="88"/>
    </row>
    <row r="753" ht="15.75" customHeight="1">
      <c r="F753" s="88"/>
    </row>
    <row r="754" ht="15.75" customHeight="1">
      <c r="F754" s="88"/>
    </row>
    <row r="755" ht="15.75" customHeight="1">
      <c r="F755" s="88"/>
    </row>
    <row r="756" ht="15.75" customHeight="1">
      <c r="F756" s="88"/>
    </row>
    <row r="757" ht="15.75" customHeight="1">
      <c r="F757" s="88"/>
    </row>
    <row r="758" ht="15.75" customHeight="1">
      <c r="F758" s="88"/>
    </row>
    <row r="759" ht="15.75" customHeight="1">
      <c r="F759" s="88"/>
    </row>
    <row r="760" ht="15.75" customHeight="1">
      <c r="F760" s="88"/>
    </row>
    <row r="761" ht="15.75" customHeight="1">
      <c r="F761" s="88"/>
    </row>
    <row r="762" ht="15.75" customHeight="1">
      <c r="F762" s="88"/>
    </row>
    <row r="763" ht="15.75" customHeight="1">
      <c r="F763" s="88"/>
    </row>
    <row r="764" ht="15.75" customHeight="1">
      <c r="F764" s="88"/>
    </row>
    <row r="765" ht="15.75" customHeight="1">
      <c r="F765" s="88"/>
    </row>
    <row r="766" ht="15.75" customHeight="1">
      <c r="F766" s="88"/>
    </row>
    <row r="767" ht="15.75" customHeight="1">
      <c r="F767" s="88"/>
    </row>
    <row r="768" ht="15.75" customHeight="1">
      <c r="F768" s="88"/>
    </row>
    <row r="769" ht="15.75" customHeight="1">
      <c r="F769" s="88"/>
    </row>
    <row r="770" ht="15.75" customHeight="1">
      <c r="F770" s="88"/>
    </row>
    <row r="771" ht="15.75" customHeight="1">
      <c r="F771" s="88"/>
    </row>
    <row r="772" ht="15.75" customHeight="1">
      <c r="F772" s="88"/>
    </row>
    <row r="773" ht="15.75" customHeight="1">
      <c r="F773" s="88"/>
    </row>
    <row r="774" ht="15.75" customHeight="1">
      <c r="F774" s="88"/>
    </row>
    <row r="775" ht="15.75" customHeight="1">
      <c r="F775" s="88"/>
    </row>
    <row r="776" ht="15.75" customHeight="1">
      <c r="F776" s="88"/>
    </row>
    <row r="777" ht="15.75" customHeight="1">
      <c r="F777" s="88"/>
    </row>
    <row r="778" ht="15.75" customHeight="1">
      <c r="F778" s="88"/>
    </row>
    <row r="779" ht="15.75" customHeight="1">
      <c r="F779" s="88"/>
    </row>
    <row r="780" ht="15.75" customHeight="1">
      <c r="F780" s="88"/>
    </row>
    <row r="781" ht="15.75" customHeight="1">
      <c r="F781" s="88"/>
    </row>
    <row r="782" ht="15.75" customHeight="1">
      <c r="F782" s="88"/>
    </row>
    <row r="783" ht="15.75" customHeight="1">
      <c r="F783" s="88"/>
    </row>
    <row r="784" ht="15.75" customHeight="1">
      <c r="F784" s="88"/>
    </row>
    <row r="785" ht="15.75" customHeight="1">
      <c r="F785" s="88"/>
    </row>
    <row r="786" ht="15.75" customHeight="1">
      <c r="F786" s="88"/>
    </row>
    <row r="787" ht="15.75" customHeight="1">
      <c r="F787" s="88"/>
    </row>
    <row r="788" ht="15.75" customHeight="1">
      <c r="F788" s="88"/>
    </row>
    <row r="789" ht="15.75" customHeight="1">
      <c r="F789" s="88"/>
    </row>
    <row r="790" ht="15.75" customHeight="1">
      <c r="F790" s="88"/>
    </row>
    <row r="791" ht="15.75" customHeight="1">
      <c r="F791" s="88"/>
    </row>
    <row r="792" ht="15.75" customHeight="1">
      <c r="F792" s="88"/>
    </row>
    <row r="793" ht="15.75" customHeight="1">
      <c r="F793" s="88"/>
    </row>
    <row r="794" ht="15.75" customHeight="1">
      <c r="F794" s="88"/>
    </row>
    <row r="795" ht="15.75" customHeight="1">
      <c r="F795" s="88"/>
    </row>
    <row r="796" ht="15.75" customHeight="1">
      <c r="F796" s="88"/>
    </row>
    <row r="797" ht="15.75" customHeight="1">
      <c r="F797" s="88"/>
    </row>
    <row r="798" ht="15.75" customHeight="1">
      <c r="F798" s="88"/>
    </row>
    <row r="799" ht="15.75" customHeight="1">
      <c r="F799" s="88"/>
    </row>
    <row r="800" ht="15.75" customHeight="1">
      <c r="F800" s="88"/>
    </row>
    <row r="801" ht="15.75" customHeight="1">
      <c r="F801" s="88"/>
    </row>
    <row r="802" ht="15.75" customHeight="1">
      <c r="F802" s="88"/>
    </row>
    <row r="803" ht="15.75" customHeight="1">
      <c r="F803" s="88"/>
    </row>
    <row r="804" ht="15.75" customHeight="1">
      <c r="F804" s="88"/>
    </row>
    <row r="805" ht="15.75" customHeight="1">
      <c r="F805" s="88"/>
    </row>
    <row r="806" ht="15.75" customHeight="1">
      <c r="F806" s="88"/>
    </row>
    <row r="807" ht="15.75" customHeight="1">
      <c r="F807" s="88"/>
    </row>
    <row r="808" ht="15.75" customHeight="1">
      <c r="F808" s="88"/>
    </row>
    <row r="809" ht="15.75" customHeight="1">
      <c r="F809" s="88"/>
    </row>
    <row r="810" ht="15.75" customHeight="1">
      <c r="F810" s="88"/>
    </row>
    <row r="811" ht="15.75" customHeight="1">
      <c r="F811" s="88"/>
    </row>
    <row r="812" ht="15.75" customHeight="1">
      <c r="F812" s="88"/>
    </row>
    <row r="813" ht="15.75" customHeight="1">
      <c r="F813" s="88"/>
    </row>
    <row r="814" ht="15.75" customHeight="1">
      <c r="F814" s="88"/>
    </row>
    <row r="815" ht="15.75" customHeight="1">
      <c r="F815" s="88"/>
    </row>
    <row r="816" ht="15.75" customHeight="1">
      <c r="F816" s="88"/>
    </row>
    <row r="817" ht="15.75" customHeight="1">
      <c r="F817" s="88"/>
    </row>
    <row r="818" ht="15.75" customHeight="1">
      <c r="F818" s="88"/>
    </row>
    <row r="819" ht="15.75" customHeight="1">
      <c r="F819" s="88"/>
    </row>
    <row r="820" ht="15.75" customHeight="1">
      <c r="F820" s="88"/>
    </row>
    <row r="821" ht="15.75" customHeight="1">
      <c r="F821" s="88"/>
    </row>
    <row r="822" ht="15.75" customHeight="1">
      <c r="F822" s="88"/>
    </row>
    <row r="823" ht="15.75" customHeight="1">
      <c r="F823" s="88"/>
    </row>
    <row r="824" ht="15.75" customHeight="1">
      <c r="F824" s="88"/>
    </row>
    <row r="825" ht="15.75" customHeight="1">
      <c r="F825" s="88"/>
    </row>
    <row r="826" ht="15.75" customHeight="1">
      <c r="F826" s="88"/>
    </row>
    <row r="827" ht="15.75" customHeight="1">
      <c r="F827" s="88"/>
    </row>
    <row r="828" ht="15.75" customHeight="1">
      <c r="F828" s="88"/>
    </row>
    <row r="829" ht="15.75" customHeight="1">
      <c r="F829" s="88"/>
    </row>
    <row r="830" ht="15.75" customHeight="1">
      <c r="F830" s="88"/>
    </row>
    <row r="831" ht="15.75" customHeight="1">
      <c r="F831" s="88"/>
    </row>
    <row r="832" ht="15.75" customHeight="1">
      <c r="F832" s="88"/>
    </row>
    <row r="833" ht="15.75" customHeight="1">
      <c r="F833" s="88"/>
    </row>
    <row r="834" ht="15.75" customHeight="1">
      <c r="F834" s="88"/>
    </row>
    <row r="835" ht="15.75" customHeight="1">
      <c r="F835" s="88"/>
    </row>
    <row r="836" ht="15.75" customHeight="1">
      <c r="F836" s="88"/>
    </row>
    <row r="837" ht="15.75" customHeight="1">
      <c r="F837" s="88"/>
    </row>
    <row r="838" ht="15.75" customHeight="1">
      <c r="F838" s="88"/>
    </row>
    <row r="839" ht="15.75" customHeight="1">
      <c r="F839" s="88"/>
    </row>
    <row r="840" ht="15.75" customHeight="1">
      <c r="F840" s="88"/>
    </row>
    <row r="841" ht="15.75" customHeight="1">
      <c r="F841" s="88"/>
    </row>
    <row r="842" ht="15.75" customHeight="1">
      <c r="F842" s="88"/>
    </row>
    <row r="843" ht="15.75" customHeight="1">
      <c r="F843" s="88"/>
    </row>
    <row r="844" ht="15.75" customHeight="1">
      <c r="F844" s="88"/>
    </row>
    <row r="845" ht="15.75" customHeight="1">
      <c r="F845" s="88"/>
    </row>
    <row r="846" ht="15.75" customHeight="1">
      <c r="F846" s="88"/>
    </row>
    <row r="847" ht="15.75" customHeight="1">
      <c r="F847" s="88"/>
    </row>
    <row r="848" ht="15.75" customHeight="1">
      <c r="F848" s="88"/>
    </row>
    <row r="849" ht="15.75" customHeight="1">
      <c r="F849" s="88"/>
    </row>
    <row r="850" ht="15.75" customHeight="1">
      <c r="F850" s="88"/>
    </row>
    <row r="851" ht="15.75" customHeight="1">
      <c r="F851" s="88"/>
    </row>
    <row r="852" ht="15.75" customHeight="1">
      <c r="F852" s="88"/>
    </row>
    <row r="853" ht="15.75" customHeight="1">
      <c r="F853" s="88"/>
    </row>
    <row r="854" ht="15.75" customHeight="1">
      <c r="F854" s="88"/>
    </row>
    <row r="855" ht="15.75" customHeight="1">
      <c r="F855" s="88"/>
    </row>
    <row r="856" ht="15.75" customHeight="1">
      <c r="F856" s="88"/>
    </row>
    <row r="857" ht="15.75" customHeight="1">
      <c r="F857" s="88"/>
    </row>
    <row r="858" ht="15.75" customHeight="1">
      <c r="F858" s="88"/>
    </row>
    <row r="859" ht="15.75" customHeight="1">
      <c r="F859" s="88"/>
    </row>
    <row r="860" ht="15.75" customHeight="1">
      <c r="F860" s="88"/>
    </row>
    <row r="861" ht="15.75" customHeight="1">
      <c r="F861" s="88"/>
    </row>
    <row r="862" ht="15.75" customHeight="1">
      <c r="F862" s="88"/>
    </row>
    <row r="863" ht="15.75" customHeight="1">
      <c r="F863" s="88"/>
    </row>
    <row r="864" ht="15.75" customHeight="1">
      <c r="F864" s="88"/>
    </row>
    <row r="865" ht="15.75" customHeight="1">
      <c r="F865" s="88"/>
    </row>
    <row r="866" ht="15.75" customHeight="1">
      <c r="F866" s="88"/>
    </row>
    <row r="867" ht="15.75" customHeight="1">
      <c r="F867" s="88"/>
    </row>
    <row r="868" ht="15.75" customHeight="1">
      <c r="F868" s="88"/>
    </row>
    <row r="869" ht="15.75" customHeight="1">
      <c r="F869" s="88"/>
    </row>
    <row r="870" ht="15.75" customHeight="1">
      <c r="F870" s="88"/>
    </row>
    <row r="871" ht="15.75" customHeight="1">
      <c r="F871" s="88"/>
    </row>
    <row r="872" ht="15.75" customHeight="1">
      <c r="F872" s="88"/>
    </row>
    <row r="873" ht="15.75" customHeight="1">
      <c r="F873" s="88"/>
    </row>
    <row r="874" ht="15.75" customHeight="1">
      <c r="F874" s="88"/>
    </row>
    <row r="875" ht="15.75" customHeight="1">
      <c r="F875" s="88"/>
    </row>
    <row r="876" ht="15.75" customHeight="1">
      <c r="F876" s="88"/>
    </row>
    <row r="877" ht="15.75" customHeight="1">
      <c r="F877" s="88"/>
    </row>
    <row r="878" ht="15.75" customHeight="1">
      <c r="F878" s="88"/>
    </row>
    <row r="879" ht="15.75" customHeight="1">
      <c r="F879" s="88"/>
    </row>
    <row r="880" ht="15.75" customHeight="1">
      <c r="F880" s="88"/>
    </row>
    <row r="881" ht="15.75" customHeight="1">
      <c r="F881" s="88"/>
    </row>
    <row r="882" ht="15.75" customHeight="1">
      <c r="F882" s="88"/>
    </row>
    <row r="883" ht="15.75" customHeight="1">
      <c r="F883" s="88"/>
    </row>
    <row r="884" ht="15.75" customHeight="1">
      <c r="F884" s="88"/>
    </row>
    <row r="885" ht="15.75" customHeight="1">
      <c r="F885" s="88"/>
    </row>
    <row r="886" ht="15.75" customHeight="1">
      <c r="F886" s="88"/>
    </row>
    <row r="887" ht="15.75" customHeight="1">
      <c r="F887" s="88"/>
    </row>
    <row r="888" ht="15.75" customHeight="1">
      <c r="F888" s="88"/>
    </row>
    <row r="889" ht="15.75" customHeight="1">
      <c r="F889" s="88"/>
    </row>
    <row r="890" ht="15.75" customHeight="1">
      <c r="F890" s="88"/>
    </row>
    <row r="891" ht="15.75" customHeight="1">
      <c r="F891" s="88"/>
    </row>
    <row r="892" ht="15.75" customHeight="1">
      <c r="F892" s="88"/>
    </row>
    <row r="893" ht="15.75" customHeight="1">
      <c r="F893" s="88"/>
    </row>
    <row r="894" ht="15.75" customHeight="1">
      <c r="F894" s="88"/>
    </row>
    <row r="895" ht="15.75" customHeight="1">
      <c r="F895" s="88"/>
    </row>
    <row r="896" ht="15.75" customHeight="1">
      <c r="F896" s="88"/>
    </row>
    <row r="897" ht="15.75" customHeight="1">
      <c r="F897" s="88"/>
    </row>
    <row r="898" ht="15.75" customHeight="1">
      <c r="F898" s="88"/>
    </row>
    <row r="899" ht="15.75" customHeight="1">
      <c r="F899" s="88"/>
    </row>
    <row r="900" ht="15.75" customHeight="1">
      <c r="F900" s="88"/>
    </row>
    <row r="901" ht="15.75" customHeight="1">
      <c r="F901" s="88"/>
    </row>
    <row r="902" ht="15.75" customHeight="1">
      <c r="F902" s="88"/>
    </row>
    <row r="903" ht="15.75" customHeight="1">
      <c r="F903" s="88"/>
    </row>
    <row r="904" ht="15.75" customHeight="1">
      <c r="F904" s="88"/>
    </row>
    <row r="905" ht="15.75" customHeight="1">
      <c r="F905" s="88"/>
    </row>
    <row r="906" ht="15.75" customHeight="1">
      <c r="F906" s="88"/>
    </row>
    <row r="907" ht="15.75" customHeight="1">
      <c r="F907" s="88"/>
    </row>
    <row r="908" ht="15.75" customHeight="1">
      <c r="F908" s="88"/>
    </row>
    <row r="909" ht="15.75" customHeight="1">
      <c r="F909" s="88"/>
    </row>
    <row r="910" ht="15.75" customHeight="1">
      <c r="F910" s="88"/>
    </row>
    <row r="911" ht="15.75" customHeight="1">
      <c r="F911" s="88"/>
    </row>
    <row r="912" ht="15.75" customHeight="1">
      <c r="F912" s="88"/>
    </row>
    <row r="913" ht="15.75" customHeight="1">
      <c r="F913" s="88"/>
    </row>
    <row r="914" ht="15.75" customHeight="1">
      <c r="F914" s="88"/>
    </row>
    <row r="915" ht="15.75" customHeight="1">
      <c r="F915" s="88"/>
    </row>
    <row r="916" ht="15.75" customHeight="1">
      <c r="F916" s="88"/>
    </row>
    <row r="917" ht="15.75" customHeight="1">
      <c r="F917" s="88"/>
    </row>
    <row r="918" ht="15.75" customHeight="1">
      <c r="F918" s="88"/>
    </row>
    <row r="919" ht="15.75" customHeight="1">
      <c r="F919" s="88"/>
    </row>
    <row r="920" ht="15.75" customHeight="1">
      <c r="F920" s="88"/>
    </row>
    <row r="921" ht="15.75" customHeight="1">
      <c r="F921" s="88"/>
    </row>
    <row r="922" ht="15.75" customHeight="1">
      <c r="F922" s="88"/>
    </row>
    <row r="923" ht="15.75" customHeight="1">
      <c r="F923" s="88"/>
    </row>
    <row r="924" ht="15.75" customHeight="1">
      <c r="F924" s="88"/>
    </row>
    <row r="925" ht="15.75" customHeight="1">
      <c r="F925" s="88"/>
    </row>
    <row r="926" ht="15.75" customHeight="1">
      <c r="F926" s="88"/>
    </row>
    <row r="927" ht="15.75" customHeight="1">
      <c r="F927" s="88"/>
    </row>
    <row r="928" ht="15.75" customHeight="1">
      <c r="F928" s="88"/>
    </row>
    <row r="929" ht="15.75" customHeight="1">
      <c r="F929" s="88"/>
    </row>
    <row r="930" ht="15.75" customHeight="1">
      <c r="F930" s="88"/>
    </row>
    <row r="931" ht="15.75" customHeight="1">
      <c r="F931" s="88"/>
    </row>
    <row r="932" ht="15.75" customHeight="1">
      <c r="F932" s="88"/>
    </row>
    <row r="933" ht="15.75" customHeight="1">
      <c r="F933" s="88"/>
    </row>
    <row r="934" ht="15.75" customHeight="1">
      <c r="F934" s="88"/>
    </row>
    <row r="935" ht="15.75" customHeight="1">
      <c r="F935" s="88"/>
    </row>
    <row r="936" ht="15.75" customHeight="1">
      <c r="F936" s="88"/>
    </row>
    <row r="937" ht="15.75" customHeight="1">
      <c r="F937" s="88"/>
    </row>
    <row r="938" ht="15.75" customHeight="1">
      <c r="F938" s="88"/>
    </row>
    <row r="939" ht="15.75" customHeight="1">
      <c r="F939" s="88"/>
    </row>
    <row r="940" ht="15.75" customHeight="1">
      <c r="F940" s="88"/>
    </row>
    <row r="941" ht="15.75" customHeight="1">
      <c r="F941" s="88"/>
    </row>
    <row r="942" ht="15.75" customHeight="1">
      <c r="F942" s="88"/>
    </row>
    <row r="943" ht="15.75" customHeight="1">
      <c r="F943" s="88"/>
    </row>
    <row r="944" ht="15.75" customHeight="1">
      <c r="F944" s="88"/>
    </row>
    <row r="945" ht="15.75" customHeight="1">
      <c r="F945" s="88"/>
    </row>
    <row r="946" ht="15.75" customHeight="1">
      <c r="F946" s="88"/>
    </row>
    <row r="947" ht="15.75" customHeight="1">
      <c r="F947" s="88"/>
    </row>
    <row r="948" ht="15.75" customHeight="1">
      <c r="F948" s="88"/>
    </row>
    <row r="949" ht="15.75" customHeight="1">
      <c r="F949" s="88"/>
    </row>
    <row r="950" ht="15.75" customHeight="1">
      <c r="F950" s="88"/>
    </row>
    <row r="951" ht="15.75" customHeight="1">
      <c r="F951" s="88"/>
    </row>
    <row r="952" ht="15.75" customHeight="1">
      <c r="F952" s="88"/>
    </row>
    <row r="953" ht="15.75" customHeight="1">
      <c r="F953" s="88"/>
    </row>
    <row r="954" ht="15.75" customHeight="1">
      <c r="F954" s="88"/>
    </row>
    <row r="955" ht="15.75" customHeight="1">
      <c r="F955" s="88"/>
    </row>
    <row r="956" ht="15.75" customHeight="1">
      <c r="F956" s="88"/>
    </row>
    <row r="957" ht="15.75" customHeight="1">
      <c r="F957" s="88"/>
    </row>
    <row r="958" ht="15.75" customHeight="1">
      <c r="F958" s="88"/>
    </row>
    <row r="959" ht="15.75" customHeight="1">
      <c r="F959" s="88"/>
    </row>
    <row r="960" ht="15.75" customHeight="1">
      <c r="F960" s="88"/>
    </row>
    <row r="961" ht="15.75" customHeight="1">
      <c r="F961" s="88"/>
    </row>
    <row r="962" ht="15.75" customHeight="1">
      <c r="F962" s="88"/>
    </row>
    <row r="963" ht="15.75" customHeight="1">
      <c r="F963" s="88"/>
    </row>
    <row r="964" ht="15.75" customHeight="1">
      <c r="F964" s="88"/>
    </row>
    <row r="965" ht="15.75" customHeight="1">
      <c r="F965" s="88"/>
    </row>
    <row r="966" ht="15.75" customHeight="1">
      <c r="F966" s="88"/>
    </row>
    <row r="967" ht="15.75" customHeight="1">
      <c r="F967" s="88"/>
    </row>
    <row r="968" ht="15.75" customHeight="1">
      <c r="F968" s="88"/>
    </row>
    <row r="969" ht="15.75" customHeight="1">
      <c r="F969" s="88"/>
    </row>
    <row r="970" ht="15.75" customHeight="1">
      <c r="F970" s="88"/>
    </row>
    <row r="971" ht="15.75" customHeight="1">
      <c r="F971" s="88"/>
    </row>
    <row r="972" ht="15.75" customHeight="1">
      <c r="F972" s="88"/>
    </row>
    <row r="973" ht="15.75" customHeight="1">
      <c r="F973" s="88"/>
    </row>
    <row r="974" ht="15.75" customHeight="1">
      <c r="F974" s="88"/>
    </row>
    <row r="975" ht="15.75" customHeight="1">
      <c r="F975" s="88"/>
    </row>
    <row r="976" ht="15.75" customHeight="1">
      <c r="F976" s="88"/>
    </row>
    <row r="977" ht="15.75" customHeight="1">
      <c r="F977" s="88"/>
    </row>
    <row r="978" ht="15.75" customHeight="1">
      <c r="F978" s="88"/>
    </row>
    <row r="979" ht="15.75" customHeight="1">
      <c r="F979" s="88"/>
    </row>
    <row r="980" ht="15.75" customHeight="1">
      <c r="F980" s="88"/>
    </row>
    <row r="981" ht="15.75" customHeight="1">
      <c r="F981" s="88"/>
    </row>
    <row r="982" ht="15.75" customHeight="1">
      <c r="F982" s="88"/>
    </row>
    <row r="983" ht="15.75" customHeight="1">
      <c r="F983" s="88"/>
    </row>
    <row r="984" ht="15.75" customHeight="1">
      <c r="F984" s="88"/>
    </row>
    <row r="985" ht="15.75" customHeight="1">
      <c r="F985" s="88"/>
    </row>
    <row r="986" ht="15.75" customHeight="1">
      <c r="F986" s="88"/>
    </row>
    <row r="987" ht="15.75" customHeight="1">
      <c r="F987" s="88"/>
    </row>
    <row r="988" ht="15.75" customHeight="1">
      <c r="F988" s="88"/>
    </row>
    <row r="989" ht="15.75" customHeight="1">
      <c r="F989" s="88"/>
    </row>
    <row r="990" ht="15.75" customHeight="1">
      <c r="F990" s="88"/>
    </row>
    <row r="991" ht="15.75" customHeight="1">
      <c r="F991" s="88"/>
    </row>
    <row r="992" ht="15.75" customHeight="1">
      <c r="F992" s="88"/>
    </row>
    <row r="993" ht="15.75" customHeight="1">
      <c r="F993" s="88"/>
    </row>
    <row r="994" ht="15.75" customHeight="1">
      <c r="F994" s="88"/>
    </row>
    <row r="995" ht="15.75" customHeight="1">
      <c r="F995" s="88"/>
    </row>
    <row r="996" ht="15.75" customHeight="1">
      <c r="F996" s="88"/>
    </row>
    <row r="997" ht="15.75" customHeight="1">
      <c r="F997" s="88"/>
    </row>
    <row r="998" ht="15.75" customHeight="1">
      <c r="F998" s="88"/>
    </row>
    <row r="999" ht="15.75" customHeight="1">
      <c r="F999" s="88"/>
    </row>
    <row r="1000" ht="15.75" customHeight="1">
      <c r="F1000" s="88"/>
    </row>
    <row r="1001" ht="15.75" customHeight="1">
      <c r="F1001" s="88"/>
    </row>
  </sheetData>
  <autoFilter ref="$A$3:$G$459">
    <sortState ref="A3:G459">
      <sortCondition ref="G3:G459"/>
    </sortState>
  </autoFilter>
  <mergeCells count="2">
    <mergeCell ref="A1:G1"/>
    <mergeCell ref="A2:G2"/>
  </mergeCells>
  <conditionalFormatting sqref="G4:G459">
    <cfRule type="cellIs" dxfId="0" priority="1" stopIfTrue="1" operator="equal">
      <formula>"Not Started"</formula>
    </cfRule>
  </conditionalFormatting>
  <conditionalFormatting sqref="G4:G459">
    <cfRule type="cellIs" dxfId="1" priority="2" stopIfTrue="1" operator="equal">
      <formula>"Work In Progress"</formula>
    </cfRule>
  </conditionalFormatting>
  <conditionalFormatting sqref="G4:G459">
    <cfRule type="cellIs" dxfId="2" priority="3" stopIfTrue="1" operator="equal">
      <formula>"Completed"</formula>
    </cfRule>
  </conditionalFormatting>
  <conditionalFormatting sqref="E4:E459">
    <cfRule type="cellIs" dxfId="3" priority="4" stopIfTrue="1" operator="equal">
      <formula>"High"</formula>
    </cfRule>
  </conditionalFormatting>
  <conditionalFormatting sqref="E4:E459">
    <cfRule type="cellIs" dxfId="5" priority="5" stopIfTrue="1" operator="equal">
      <formula>"Critical"</formula>
    </cfRule>
  </conditionalFormatting>
  <dataValidations>
    <dataValidation type="list" allowBlank="1" showErrorMessage="1" sqref="B4:B459">
      <formula1>"Other,101,102,103,104,105,106,107,121,201,202,203,204,205,206,207,208,209,210,211,213,214,215,216,217,218,219,221,301,302,303,304,305,306,307,308,309,310,311,313,314,315,316,317,318,319,321,401,402,403,404,405,406,407,408,409,410,411,413,414,415,416,417,4"&amp;"18,419,421"</formula1>
    </dataValidation>
    <dataValidation type="custom" allowBlank="1" showDropDown="1" showErrorMessage="1" sqref="F4:F459">
      <formula1>OR(NOT(ISERROR(DATEVALUE(F4))), AND(ISNUMBER(F4), LEFT(CELL("format", F4))="D"))</formula1>
    </dataValidation>
    <dataValidation type="list" allowBlank="1" showErrorMessage="1" sqref="G4:G459">
      <formula1>"Not Started,Work In Progress,Completed"</formula1>
    </dataValidation>
    <dataValidation type="list" allowBlank="1" showErrorMessage="1" sqref="E4:E459">
      <formula1>Lists!$C$4:$C$7</formula1>
    </dataValidation>
    <dataValidation type="list" allowBlank="1" showErrorMessage="1" sqref="C4:C459">
      <formula1>"Misc.,Climate/AC,Electrical,Technology,Plumbing,Walls,Ceiling,Floors,Doors,Safety"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2.63"/>
    <col customWidth="1" min="2" max="2" width="15.13"/>
    <col customWidth="1" min="3" max="3" width="16.38"/>
    <col customWidth="1" min="4" max="6" width="11.38"/>
    <col customWidth="1" min="7" max="7" width="13.88"/>
    <col customWidth="1" min="8" max="8" width="35.13"/>
    <col customWidth="1" min="9" max="9" width="11.38"/>
    <col customWidth="1" min="10" max="10" width="16.38"/>
    <col customWidth="1" min="11" max="12" width="13.88"/>
    <col customWidth="1" min="13" max="13" width="11.38"/>
    <col customWidth="1" min="14" max="14" width="13.88"/>
    <col customWidth="1" min="15" max="15" width="12.63"/>
  </cols>
  <sheetData>
    <row r="1" ht="15.75" customHeight="1">
      <c r="A1" s="1" t="s">
        <v>0</v>
      </c>
      <c r="O1" s="2"/>
    </row>
    <row r="2" ht="15.75" customHeight="1">
      <c r="A2" s="3" t="s">
        <v>3</v>
      </c>
      <c r="O2" s="2"/>
    </row>
    <row r="3" ht="15.75" customHeight="1">
      <c r="A3" s="4" t="s">
        <v>5</v>
      </c>
      <c r="B3" s="4" t="s">
        <v>8</v>
      </c>
      <c r="C3" s="4" t="s">
        <v>9</v>
      </c>
      <c r="D3" s="4" t="s">
        <v>12</v>
      </c>
      <c r="E3" s="4" t="s">
        <v>14</v>
      </c>
      <c r="F3" s="4" t="s">
        <v>17</v>
      </c>
      <c r="G3" s="4" t="s">
        <v>20</v>
      </c>
      <c r="H3" s="4" t="s">
        <v>23</v>
      </c>
      <c r="I3" s="4" t="s">
        <v>21</v>
      </c>
      <c r="J3" s="4" t="s">
        <v>26</v>
      </c>
      <c r="K3" s="4" t="s">
        <v>28</v>
      </c>
      <c r="L3" s="4" t="s">
        <v>29</v>
      </c>
      <c r="M3" s="4" t="s">
        <v>32</v>
      </c>
      <c r="N3" s="4" t="s">
        <v>35</v>
      </c>
      <c r="O3" s="2"/>
    </row>
    <row r="4" ht="15.75" customHeight="1">
      <c r="A4" s="6">
        <v>46220.0</v>
      </c>
      <c r="B4" s="8">
        <v>210.0</v>
      </c>
      <c r="C4" s="8" t="s">
        <v>40</v>
      </c>
      <c r="D4" s="9" t="s">
        <v>41</v>
      </c>
      <c r="E4" s="9" t="s">
        <v>41</v>
      </c>
      <c r="F4" s="8" t="s">
        <v>42</v>
      </c>
      <c r="G4" s="8" t="s">
        <v>43</v>
      </c>
      <c r="H4" s="8" t="s">
        <v>44</v>
      </c>
      <c r="I4" s="8" t="s">
        <v>45</v>
      </c>
      <c r="J4" s="8" t="s">
        <v>46</v>
      </c>
      <c r="K4" s="6">
        <v>46220.0</v>
      </c>
      <c r="L4" s="14">
        <f t="shared" ref="L4:L250" si="1">IF(K4="","",K4+30)</f>
        <v>46250</v>
      </c>
      <c r="M4" s="16">
        <f t="shared" ref="M4:M250" si="2">IF(L4="","",L4-TODAY())</f>
        <v>16</v>
      </c>
      <c r="N4" s="9" t="str">
        <f t="shared" ref="N4:N250" si="3">IF(M4="","",IF(M4&lt;0,"Overdue",IF(M4&lt;=7,"Due Soon","Current")))</f>
        <v>Current</v>
      </c>
      <c r="O4" s="19"/>
    </row>
    <row r="5" ht="15.75" customHeight="1">
      <c r="A5" s="20">
        <v>46223.0</v>
      </c>
      <c r="B5" s="17">
        <v>408.0</v>
      </c>
      <c r="C5" s="17" t="s">
        <v>56</v>
      </c>
      <c r="D5" s="17" t="s">
        <v>41</v>
      </c>
      <c r="E5" s="17" t="s">
        <v>41</v>
      </c>
      <c r="F5" s="17" t="s">
        <v>41</v>
      </c>
      <c r="G5" s="17" t="s">
        <v>41</v>
      </c>
      <c r="H5" s="17" t="s">
        <v>58</v>
      </c>
      <c r="I5" s="17" t="s">
        <v>59</v>
      </c>
      <c r="J5" s="17" t="s">
        <v>46</v>
      </c>
      <c r="K5" s="20">
        <v>46223.0</v>
      </c>
      <c r="L5" s="21">
        <f t="shared" si="1"/>
        <v>46253</v>
      </c>
      <c r="M5" s="23">
        <f t="shared" si="2"/>
        <v>19</v>
      </c>
      <c r="N5" s="11" t="str">
        <f t="shared" si="3"/>
        <v>Current</v>
      </c>
      <c r="O5" s="19"/>
    </row>
    <row r="6" ht="15.75" customHeight="1">
      <c r="A6" s="6">
        <v>46223.0</v>
      </c>
      <c r="B6" s="8">
        <v>101.0</v>
      </c>
      <c r="C6" s="8" t="s">
        <v>40</v>
      </c>
      <c r="D6" s="8" t="s">
        <v>41</v>
      </c>
      <c r="E6" s="8" t="s">
        <v>42</v>
      </c>
      <c r="F6" s="8" t="s">
        <v>41</v>
      </c>
      <c r="G6" s="8" t="s">
        <v>43</v>
      </c>
      <c r="H6" s="8" t="s">
        <v>65</v>
      </c>
      <c r="I6" s="8" t="s">
        <v>55</v>
      </c>
      <c r="J6" s="8" t="s">
        <v>46</v>
      </c>
      <c r="K6" s="6">
        <v>46223.0</v>
      </c>
      <c r="L6" s="14">
        <f t="shared" si="1"/>
        <v>46253</v>
      </c>
      <c r="M6" s="16">
        <f t="shared" si="2"/>
        <v>19</v>
      </c>
      <c r="N6" s="9" t="str">
        <f t="shared" si="3"/>
        <v>Current</v>
      </c>
      <c r="O6" s="19"/>
    </row>
    <row r="7" ht="15.75" customHeight="1">
      <c r="A7" s="20">
        <v>46224.0</v>
      </c>
      <c r="B7" s="17">
        <v>211.0</v>
      </c>
      <c r="C7" s="17" t="s">
        <v>56</v>
      </c>
      <c r="D7" s="17" t="s">
        <v>41</v>
      </c>
      <c r="E7" s="17" t="s">
        <v>41</v>
      </c>
      <c r="F7" s="17" t="s">
        <v>41</v>
      </c>
      <c r="G7" s="17" t="s">
        <v>41</v>
      </c>
      <c r="H7" s="17" t="s">
        <v>69</v>
      </c>
      <c r="I7" s="17" t="s">
        <v>59</v>
      </c>
      <c r="J7" s="17" t="s">
        <v>46</v>
      </c>
      <c r="K7" s="20">
        <v>46224.0</v>
      </c>
      <c r="L7" s="21">
        <f t="shared" si="1"/>
        <v>46254</v>
      </c>
      <c r="M7" s="23">
        <f t="shared" si="2"/>
        <v>20</v>
      </c>
      <c r="N7" s="11" t="str">
        <f t="shared" si="3"/>
        <v>Current</v>
      </c>
      <c r="O7" s="19"/>
    </row>
    <row r="8" ht="15.75" customHeight="1">
      <c r="A8" s="6">
        <v>46224.0</v>
      </c>
      <c r="B8" s="8">
        <v>308.0</v>
      </c>
      <c r="C8" s="8" t="s">
        <v>56</v>
      </c>
      <c r="D8" s="8" t="s">
        <v>41</v>
      </c>
      <c r="E8" s="8" t="s">
        <v>41</v>
      </c>
      <c r="F8" s="8" t="s">
        <v>41</v>
      </c>
      <c r="G8" s="8" t="s">
        <v>41</v>
      </c>
      <c r="H8" s="17" t="s">
        <v>69</v>
      </c>
      <c r="I8" s="8" t="s">
        <v>59</v>
      </c>
      <c r="J8" s="8" t="s">
        <v>46</v>
      </c>
      <c r="K8" s="6">
        <v>46224.0</v>
      </c>
      <c r="L8" s="14">
        <f t="shared" si="1"/>
        <v>46254</v>
      </c>
      <c r="M8" s="16">
        <f t="shared" si="2"/>
        <v>20</v>
      </c>
      <c r="N8" s="9" t="str">
        <f t="shared" si="3"/>
        <v>Current</v>
      </c>
      <c r="O8" s="19"/>
    </row>
    <row r="9" ht="15.75" customHeight="1">
      <c r="A9" s="26">
        <v>46226.0</v>
      </c>
      <c r="B9" s="17">
        <v>107.0</v>
      </c>
      <c r="C9" s="17" t="s">
        <v>56</v>
      </c>
      <c r="D9" s="17" t="s">
        <v>41</v>
      </c>
      <c r="E9" s="17" t="s">
        <v>41</v>
      </c>
      <c r="F9" s="17" t="s">
        <v>41</v>
      </c>
      <c r="G9" s="17" t="s">
        <v>41</v>
      </c>
      <c r="H9" s="17" t="s">
        <v>69</v>
      </c>
      <c r="I9" s="17" t="s">
        <v>59</v>
      </c>
      <c r="J9" s="17" t="s">
        <v>46</v>
      </c>
      <c r="K9" s="20">
        <v>46226.0</v>
      </c>
      <c r="L9" s="21">
        <f t="shared" si="1"/>
        <v>46256</v>
      </c>
      <c r="M9" s="23">
        <f t="shared" si="2"/>
        <v>22</v>
      </c>
      <c r="N9" s="11" t="str">
        <f t="shared" si="3"/>
        <v>Current</v>
      </c>
    </row>
    <row r="10" ht="15.75" customHeight="1">
      <c r="A10" s="6">
        <v>46226.0</v>
      </c>
      <c r="B10" s="8">
        <v>102.0</v>
      </c>
      <c r="C10" s="8" t="s">
        <v>40</v>
      </c>
      <c r="D10" s="8" t="s">
        <v>43</v>
      </c>
      <c r="E10" s="8" t="s">
        <v>41</v>
      </c>
      <c r="F10" s="8" t="s">
        <v>41</v>
      </c>
      <c r="G10" s="8" t="s">
        <v>43</v>
      </c>
      <c r="H10" s="27" t="s">
        <v>77</v>
      </c>
      <c r="I10" s="8" t="s">
        <v>55</v>
      </c>
      <c r="J10" s="8" t="s">
        <v>46</v>
      </c>
      <c r="K10" s="6">
        <v>46226.0</v>
      </c>
      <c r="L10" s="14">
        <f t="shared" si="1"/>
        <v>46256</v>
      </c>
      <c r="M10" s="16">
        <f t="shared" si="2"/>
        <v>22</v>
      </c>
      <c r="N10" s="9" t="str">
        <f t="shared" si="3"/>
        <v>Current</v>
      </c>
    </row>
    <row r="11" ht="15.75" customHeight="1">
      <c r="A11" s="20">
        <v>46226.0</v>
      </c>
      <c r="B11" s="17">
        <v>203.0</v>
      </c>
      <c r="C11" s="17" t="s">
        <v>40</v>
      </c>
      <c r="D11" s="17" t="s">
        <v>43</v>
      </c>
      <c r="E11" s="17" t="s">
        <v>43</v>
      </c>
      <c r="F11" s="17" t="s">
        <v>41</v>
      </c>
      <c r="G11" s="17" t="s">
        <v>41</v>
      </c>
      <c r="H11" s="8" t="s">
        <v>82</v>
      </c>
      <c r="I11" s="17" t="s">
        <v>55</v>
      </c>
      <c r="J11" s="17" t="s">
        <v>46</v>
      </c>
      <c r="K11" s="20">
        <v>46226.0</v>
      </c>
      <c r="L11" s="21">
        <f t="shared" si="1"/>
        <v>46256</v>
      </c>
      <c r="M11" s="23">
        <f t="shared" si="2"/>
        <v>22</v>
      </c>
      <c r="N11" s="11" t="str">
        <f t="shared" si="3"/>
        <v>Current</v>
      </c>
    </row>
    <row r="12" ht="15.75" customHeight="1">
      <c r="A12" s="6">
        <v>46226.0</v>
      </c>
      <c r="B12" s="8">
        <v>215.0</v>
      </c>
      <c r="C12" s="8" t="s">
        <v>40</v>
      </c>
      <c r="D12" s="8" t="s">
        <v>43</v>
      </c>
      <c r="E12" s="8" t="s">
        <v>41</v>
      </c>
      <c r="F12" s="8" t="s">
        <v>41</v>
      </c>
      <c r="G12" s="8" t="s">
        <v>41</v>
      </c>
      <c r="H12" s="8" t="s">
        <v>83</v>
      </c>
      <c r="I12" s="8" t="s">
        <v>59</v>
      </c>
      <c r="J12" s="8" t="s">
        <v>46</v>
      </c>
      <c r="K12" s="6">
        <v>46226.0</v>
      </c>
      <c r="L12" s="14">
        <f t="shared" si="1"/>
        <v>46256</v>
      </c>
      <c r="M12" s="16">
        <f t="shared" si="2"/>
        <v>22</v>
      </c>
      <c r="N12" s="9" t="str">
        <f t="shared" si="3"/>
        <v>Current</v>
      </c>
    </row>
    <row r="13" ht="15.75" customHeight="1">
      <c r="A13" s="20">
        <v>46226.0</v>
      </c>
      <c r="B13" s="17">
        <v>307.0</v>
      </c>
      <c r="C13" s="17" t="s">
        <v>56</v>
      </c>
      <c r="D13" s="17" t="s">
        <v>41</v>
      </c>
      <c r="E13" s="17" t="s">
        <v>41</v>
      </c>
      <c r="F13" s="17" t="s">
        <v>41</v>
      </c>
      <c r="G13" s="17" t="s">
        <v>41</v>
      </c>
      <c r="H13" s="17" t="s">
        <v>69</v>
      </c>
      <c r="I13" s="17" t="s">
        <v>59</v>
      </c>
      <c r="J13" s="17" t="s">
        <v>46</v>
      </c>
      <c r="K13" s="20">
        <v>46226.0</v>
      </c>
      <c r="L13" s="21">
        <f t="shared" si="1"/>
        <v>46256</v>
      </c>
      <c r="M13" s="23">
        <f t="shared" si="2"/>
        <v>22</v>
      </c>
      <c r="N13" s="11" t="str">
        <f t="shared" si="3"/>
        <v>Current</v>
      </c>
    </row>
    <row r="14" ht="15.75" customHeight="1">
      <c r="A14" s="6">
        <v>46226.0</v>
      </c>
      <c r="B14" s="8">
        <v>319.0</v>
      </c>
      <c r="C14" s="8" t="s">
        <v>40</v>
      </c>
      <c r="D14" s="8" t="s">
        <v>43</v>
      </c>
      <c r="E14" s="8" t="s">
        <v>43</v>
      </c>
      <c r="F14" s="8" t="s">
        <v>41</v>
      </c>
      <c r="G14" s="8" t="s">
        <v>41</v>
      </c>
      <c r="H14" s="8" t="s">
        <v>88</v>
      </c>
      <c r="I14" s="8" t="s">
        <v>55</v>
      </c>
      <c r="J14" s="8" t="s">
        <v>46</v>
      </c>
      <c r="K14" s="6">
        <v>46226.0</v>
      </c>
      <c r="L14" s="14">
        <f t="shared" si="1"/>
        <v>46256</v>
      </c>
      <c r="M14" s="16">
        <f t="shared" si="2"/>
        <v>22</v>
      </c>
      <c r="N14" s="9" t="str">
        <f t="shared" si="3"/>
        <v>Current</v>
      </c>
    </row>
    <row r="15" ht="15.75" customHeight="1">
      <c r="A15" s="20">
        <v>46226.0</v>
      </c>
      <c r="B15" s="17">
        <v>411.0</v>
      </c>
      <c r="C15" s="17" t="s">
        <v>40</v>
      </c>
      <c r="D15" s="17" t="s">
        <v>43</v>
      </c>
      <c r="E15" s="17" t="s">
        <v>41</v>
      </c>
      <c r="F15" s="17" t="s">
        <v>41</v>
      </c>
      <c r="G15" s="17" t="s">
        <v>41</v>
      </c>
      <c r="H15" s="8" t="s">
        <v>83</v>
      </c>
      <c r="I15" s="17" t="s">
        <v>59</v>
      </c>
      <c r="J15" s="17" t="s">
        <v>46</v>
      </c>
      <c r="K15" s="20">
        <v>46226.0</v>
      </c>
      <c r="L15" s="21">
        <f t="shared" si="1"/>
        <v>46256</v>
      </c>
      <c r="M15" s="23">
        <f t="shared" si="2"/>
        <v>22</v>
      </c>
      <c r="N15" s="11" t="str">
        <f t="shared" si="3"/>
        <v>Current</v>
      </c>
    </row>
    <row r="16" ht="15.75" customHeight="1">
      <c r="A16" s="6">
        <v>46226.0</v>
      </c>
      <c r="B16" s="8">
        <v>415.0</v>
      </c>
      <c r="C16" s="8" t="s">
        <v>40</v>
      </c>
      <c r="D16" s="8" t="s">
        <v>43</v>
      </c>
      <c r="E16" s="8" t="s">
        <v>41</v>
      </c>
      <c r="F16" s="8" t="s">
        <v>41</v>
      </c>
      <c r="G16" s="8" t="s">
        <v>41</v>
      </c>
      <c r="H16" s="8" t="s">
        <v>83</v>
      </c>
      <c r="I16" s="8" t="s">
        <v>59</v>
      </c>
      <c r="J16" s="8" t="s">
        <v>46</v>
      </c>
      <c r="K16" s="6">
        <v>46226.0</v>
      </c>
      <c r="L16" s="14">
        <f t="shared" si="1"/>
        <v>46256</v>
      </c>
      <c r="M16" s="16">
        <f t="shared" si="2"/>
        <v>22</v>
      </c>
      <c r="N16" s="9" t="str">
        <f t="shared" si="3"/>
        <v>Current</v>
      </c>
    </row>
    <row r="17" ht="15.75" customHeight="1">
      <c r="A17" s="20">
        <v>46226.0</v>
      </c>
      <c r="B17" s="17">
        <v>419.0</v>
      </c>
      <c r="C17" s="17" t="s">
        <v>40</v>
      </c>
      <c r="D17" s="17" t="s">
        <v>43</v>
      </c>
      <c r="E17" s="17" t="s">
        <v>41</v>
      </c>
      <c r="F17" s="17" t="s">
        <v>41</v>
      </c>
      <c r="G17" s="17" t="s">
        <v>41</v>
      </c>
      <c r="H17" s="8" t="s">
        <v>83</v>
      </c>
      <c r="I17" s="17" t="s">
        <v>59</v>
      </c>
      <c r="J17" s="17" t="s">
        <v>46</v>
      </c>
      <c r="K17" s="20">
        <v>46226.0</v>
      </c>
      <c r="L17" s="21">
        <f t="shared" si="1"/>
        <v>46256</v>
      </c>
      <c r="M17" s="23">
        <f t="shared" si="2"/>
        <v>22</v>
      </c>
      <c r="N17" s="11" t="str">
        <f t="shared" si="3"/>
        <v>Current</v>
      </c>
    </row>
    <row r="18" ht="15.75" customHeight="1">
      <c r="A18" s="6">
        <v>46229.0</v>
      </c>
      <c r="B18" s="8">
        <v>209.0</v>
      </c>
      <c r="C18" s="8" t="s">
        <v>40</v>
      </c>
      <c r="D18" s="8" t="s">
        <v>43</v>
      </c>
      <c r="E18" s="8" t="s">
        <v>41</v>
      </c>
      <c r="F18" s="8" t="s">
        <v>42</v>
      </c>
      <c r="G18" s="8" t="s">
        <v>41</v>
      </c>
      <c r="H18" s="8" t="s">
        <v>103</v>
      </c>
      <c r="I18" s="8" t="s">
        <v>45</v>
      </c>
      <c r="J18" s="8" t="s">
        <v>46</v>
      </c>
      <c r="K18" s="6">
        <v>46229.0</v>
      </c>
      <c r="L18" s="14">
        <f t="shared" si="1"/>
        <v>46259</v>
      </c>
      <c r="M18" s="16">
        <f t="shared" si="2"/>
        <v>25</v>
      </c>
      <c r="N18" s="9" t="str">
        <f t="shared" si="3"/>
        <v>Current</v>
      </c>
    </row>
    <row r="19" ht="15.75" customHeight="1">
      <c r="A19" s="20">
        <v>46229.0</v>
      </c>
      <c r="B19" s="17">
        <v>217.0</v>
      </c>
      <c r="C19" s="17" t="s">
        <v>56</v>
      </c>
      <c r="D19" s="17" t="s">
        <v>41</v>
      </c>
      <c r="E19" s="17" t="s">
        <v>41</v>
      </c>
      <c r="F19" s="17" t="s">
        <v>41</v>
      </c>
      <c r="G19" s="17" t="s">
        <v>41</v>
      </c>
      <c r="H19" s="17" t="s">
        <v>69</v>
      </c>
      <c r="I19" s="17" t="s">
        <v>59</v>
      </c>
      <c r="J19" s="17" t="s">
        <v>46</v>
      </c>
      <c r="K19" s="20">
        <v>46229.0</v>
      </c>
      <c r="L19" s="21">
        <f t="shared" si="1"/>
        <v>46259</v>
      </c>
      <c r="M19" s="23">
        <f t="shared" si="2"/>
        <v>25</v>
      </c>
      <c r="N19" s="11" t="str">
        <f t="shared" si="3"/>
        <v>Current</v>
      </c>
    </row>
    <row r="20" ht="15.75" customHeight="1">
      <c r="A20" s="6">
        <v>46229.0</v>
      </c>
      <c r="B20" s="8">
        <v>219.0</v>
      </c>
      <c r="C20" s="8" t="s">
        <v>40</v>
      </c>
      <c r="D20" s="8" t="s">
        <v>41</v>
      </c>
      <c r="E20" s="8" t="s">
        <v>41</v>
      </c>
      <c r="F20" s="8" t="s">
        <v>42</v>
      </c>
      <c r="G20" s="8" t="s">
        <v>41</v>
      </c>
      <c r="H20" s="8" t="s">
        <v>112</v>
      </c>
      <c r="I20" s="8" t="s">
        <v>48</v>
      </c>
      <c r="J20" s="8" t="s">
        <v>46</v>
      </c>
      <c r="K20" s="6">
        <v>46229.0</v>
      </c>
      <c r="L20" s="14">
        <f t="shared" si="1"/>
        <v>46259</v>
      </c>
      <c r="M20" s="16">
        <f t="shared" si="2"/>
        <v>25</v>
      </c>
      <c r="N20" s="9" t="str">
        <f t="shared" si="3"/>
        <v>Current</v>
      </c>
    </row>
    <row r="21" ht="15.75" customHeight="1">
      <c r="A21" s="20">
        <v>46229.0</v>
      </c>
      <c r="B21" s="17">
        <v>303.0</v>
      </c>
      <c r="C21" s="17" t="s">
        <v>40</v>
      </c>
      <c r="D21" s="17" t="s">
        <v>41</v>
      </c>
      <c r="E21" s="17" t="s">
        <v>41</v>
      </c>
      <c r="F21" s="17" t="s">
        <v>42</v>
      </c>
      <c r="G21" s="17" t="s">
        <v>41</v>
      </c>
      <c r="H21" s="8" t="s">
        <v>112</v>
      </c>
      <c r="I21" s="17" t="s">
        <v>48</v>
      </c>
      <c r="J21" s="17" t="s">
        <v>46</v>
      </c>
      <c r="K21" s="20">
        <v>46229.0</v>
      </c>
      <c r="L21" s="21">
        <f t="shared" si="1"/>
        <v>46259</v>
      </c>
      <c r="M21" s="23">
        <f t="shared" si="2"/>
        <v>25</v>
      </c>
      <c r="N21" s="11" t="str">
        <f t="shared" si="3"/>
        <v>Current</v>
      </c>
    </row>
    <row r="22" ht="15.75" customHeight="1">
      <c r="A22" s="6">
        <v>46229.0</v>
      </c>
      <c r="B22" s="8">
        <v>304.0</v>
      </c>
      <c r="C22" s="8" t="s">
        <v>40</v>
      </c>
      <c r="D22" s="8" t="s">
        <v>41</v>
      </c>
      <c r="E22" s="8" t="s">
        <v>41</v>
      </c>
      <c r="F22" s="8" t="s">
        <v>42</v>
      </c>
      <c r="G22" s="8" t="s">
        <v>41</v>
      </c>
      <c r="H22" s="8" t="s">
        <v>115</v>
      </c>
      <c r="I22" s="8" t="s">
        <v>48</v>
      </c>
      <c r="J22" s="8" t="s">
        <v>46</v>
      </c>
      <c r="K22" s="6">
        <v>46229.0</v>
      </c>
      <c r="L22" s="14">
        <f t="shared" si="1"/>
        <v>46259</v>
      </c>
      <c r="M22" s="16">
        <f t="shared" si="2"/>
        <v>25</v>
      </c>
      <c r="N22" s="9" t="str">
        <f t="shared" si="3"/>
        <v>Current</v>
      </c>
    </row>
    <row r="23" ht="15.75" customHeight="1">
      <c r="A23" s="20">
        <v>46229.0</v>
      </c>
      <c r="B23" s="17">
        <v>306.0</v>
      </c>
      <c r="C23" s="17" t="s">
        <v>40</v>
      </c>
      <c r="D23" s="17" t="s">
        <v>41</v>
      </c>
      <c r="E23" s="17" t="s">
        <v>41</v>
      </c>
      <c r="F23" s="17" t="s">
        <v>42</v>
      </c>
      <c r="G23" s="17" t="s">
        <v>41</v>
      </c>
      <c r="H23" s="17" t="s">
        <v>118</v>
      </c>
      <c r="I23" s="17" t="s">
        <v>48</v>
      </c>
      <c r="J23" s="17" t="s">
        <v>46</v>
      </c>
      <c r="K23" s="20">
        <v>46229.0</v>
      </c>
      <c r="L23" s="21">
        <f t="shared" si="1"/>
        <v>46259</v>
      </c>
      <c r="M23" s="23">
        <f t="shared" si="2"/>
        <v>25</v>
      </c>
      <c r="N23" s="11" t="str">
        <f t="shared" si="3"/>
        <v>Current</v>
      </c>
    </row>
    <row r="24" ht="15.75" customHeight="1">
      <c r="A24" s="6">
        <v>46229.0</v>
      </c>
      <c r="B24" s="8">
        <v>313.0</v>
      </c>
      <c r="C24" s="8" t="s">
        <v>56</v>
      </c>
      <c r="D24" s="8" t="s">
        <v>41</v>
      </c>
      <c r="E24" s="8" t="s">
        <v>41</v>
      </c>
      <c r="F24" s="8" t="s">
        <v>41</v>
      </c>
      <c r="G24" s="8" t="s">
        <v>41</v>
      </c>
      <c r="H24" s="17" t="s">
        <v>69</v>
      </c>
      <c r="I24" s="8" t="s">
        <v>59</v>
      </c>
      <c r="J24" s="8" t="s">
        <v>46</v>
      </c>
      <c r="K24" s="6">
        <v>46229.0</v>
      </c>
      <c r="L24" s="14">
        <f t="shared" si="1"/>
        <v>46259</v>
      </c>
      <c r="M24" s="16">
        <f t="shared" si="2"/>
        <v>25</v>
      </c>
      <c r="N24" s="9" t="str">
        <f t="shared" si="3"/>
        <v>Current</v>
      </c>
    </row>
    <row r="25" ht="15.75" customHeight="1">
      <c r="A25" s="20">
        <v>46229.0</v>
      </c>
      <c r="B25" s="17">
        <v>314.0</v>
      </c>
      <c r="C25" s="17" t="s">
        <v>40</v>
      </c>
      <c r="D25" s="17" t="s">
        <v>41</v>
      </c>
      <c r="E25" s="17" t="s">
        <v>41</v>
      </c>
      <c r="F25" s="17" t="s">
        <v>42</v>
      </c>
      <c r="G25" s="17" t="s">
        <v>41</v>
      </c>
      <c r="H25" s="17" t="s">
        <v>121</v>
      </c>
      <c r="I25" s="17" t="s">
        <v>59</v>
      </c>
      <c r="J25" s="17" t="s">
        <v>46</v>
      </c>
      <c r="K25" s="20">
        <v>46229.0</v>
      </c>
      <c r="L25" s="21">
        <f t="shared" si="1"/>
        <v>46259</v>
      </c>
      <c r="M25" s="23">
        <f t="shared" si="2"/>
        <v>25</v>
      </c>
      <c r="N25" s="11" t="str">
        <f t="shared" si="3"/>
        <v>Current</v>
      </c>
    </row>
    <row r="26" ht="15.75" customHeight="1">
      <c r="A26" s="6">
        <v>46229.0</v>
      </c>
      <c r="B26" s="8">
        <v>318.0</v>
      </c>
      <c r="C26" s="8" t="s">
        <v>40</v>
      </c>
      <c r="D26" s="8" t="s">
        <v>41</v>
      </c>
      <c r="E26" s="8" t="s">
        <v>43</v>
      </c>
      <c r="F26" s="8" t="s">
        <v>41</v>
      </c>
      <c r="G26" s="8" t="s">
        <v>41</v>
      </c>
      <c r="H26" s="8" t="s">
        <v>123</v>
      </c>
      <c r="I26" s="8" t="s">
        <v>48</v>
      </c>
      <c r="J26" s="8" t="s">
        <v>46</v>
      </c>
      <c r="K26" s="6">
        <v>46229.0</v>
      </c>
      <c r="L26" s="14">
        <f t="shared" si="1"/>
        <v>46259</v>
      </c>
      <c r="M26" s="16">
        <f t="shared" si="2"/>
        <v>25</v>
      </c>
      <c r="N26" s="9" t="str">
        <f t="shared" si="3"/>
        <v>Current</v>
      </c>
    </row>
    <row r="27" ht="15.75" customHeight="1">
      <c r="A27" s="20">
        <v>46229.0</v>
      </c>
      <c r="B27" s="17">
        <v>319.0</v>
      </c>
      <c r="C27" s="17" t="s">
        <v>40</v>
      </c>
      <c r="D27" s="17" t="s">
        <v>41</v>
      </c>
      <c r="E27" s="17" t="s">
        <v>41</v>
      </c>
      <c r="F27" s="17" t="s">
        <v>42</v>
      </c>
      <c r="G27" s="17" t="s">
        <v>41</v>
      </c>
      <c r="H27" s="8" t="s">
        <v>112</v>
      </c>
      <c r="I27" s="17" t="s">
        <v>48</v>
      </c>
      <c r="J27" s="17" t="s">
        <v>46</v>
      </c>
      <c r="K27" s="20">
        <v>46229.0</v>
      </c>
      <c r="L27" s="21">
        <f t="shared" si="1"/>
        <v>46259</v>
      </c>
      <c r="M27" s="23">
        <f t="shared" si="2"/>
        <v>25</v>
      </c>
      <c r="N27" s="11" t="str">
        <f t="shared" si="3"/>
        <v>Current</v>
      </c>
    </row>
    <row r="28" ht="15.75" customHeight="1">
      <c r="A28" s="6">
        <v>46229.0</v>
      </c>
      <c r="B28" s="8">
        <v>321.0</v>
      </c>
      <c r="C28" s="8" t="s">
        <v>56</v>
      </c>
      <c r="D28" s="8" t="s">
        <v>41</v>
      </c>
      <c r="E28" s="8" t="s">
        <v>41</v>
      </c>
      <c r="F28" s="8" t="s">
        <v>41</v>
      </c>
      <c r="G28" s="8" t="s">
        <v>41</v>
      </c>
      <c r="H28" s="17" t="s">
        <v>69</v>
      </c>
      <c r="I28" s="8" t="s">
        <v>59</v>
      </c>
      <c r="J28" s="8" t="s">
        <v>46</v>
      </c>
      <c r="K28" s="6">
        <v>46229.0</v>
      </c>
      <c r="L28" s="14">
        <f t="shared" si="1"/>
        <v>46259</v>
      </c>
      <c r="M28" s="16">
        <f t="shared" si="2"/>
        <v>25</v>
      </c>
      <c r="N28" s="9" t="str">
        <f t="shared" si="3"/>
        <v>Current</v>
      </c>
    </row>
    <row r="29" ht="15.75" customHeight="1">
      <c r="A29" s="20">
        <v>46229.0</v>
      </c>
      <c r="B29" s="17">
        <v>402.0</v>
      </c>
      <c r="C29" s="17" t="s">
        <v>40</v>
      </c>
      <c r="D29" s="17" t="s">
        <v>41</v>
      </c>
      <c r="E29" s="17" t="s">
        <v>41</v>
      </c>
      <c r="F29" s="17" t="s">
        <v>42</v>
      </c>
      <c r="G29" s="17" t="s">
        <v>43</v>
      </c>
      <c r="H29" s="17" t="s">
        <v>126</v>
      </c>
      <c r="I29" s="17" t="s">
        <v>48</v>
      </c>
      <c r="J29" s="17" t="s">
        <v>46</v>
      </c>
      <c r="K29" s="20">
        <v>46229.0</v>
      </c>
      <c r="L29" s="21">
        <f t="shared" si="1"/>
        <v>46259</v>
      </c>
      <c r="M29" s="23">
        <f t="shared" si="2"/>
        <v>25</v>
      </c>
      <c r="N29" s="11" t="str">
        <f t="shared" si="3"/>
        <v>Current</v>
      </c>
    </row>
    <row r="30" ht="15.75" customHeight="1">
      <c r="A30" s="6">
        <v>46229.0</v>
      </c>
      <c r="B30" s="8">
        <v>415.0</v>
      </c>
      <c r="C30" s="8" t="s">
        <v>56</v>
      </c>
      <c r="D30" s="8" t="s">
        <v>41</v>
      </c>
      <c r="E30" s="8" t="s">
        <v>41</v>
      </c>
      <c r="F30" s="8" t="s">
        <v>41</v>
      </c>
      <c r="G30" s="8" t="s">
        <v>41</v>
      </c>
      <c r="H30" s="17" t="s">
        <v>69</v>
      </c>
      <c r="I30" s="8" t="s">
        <v>59</v>
      </c>
      <c r="J30" s="8" t="s">
        <v>46</v>
      </c>
      <c r="K30" s="6">
        <v>46229.0</v>
      </c>
      <c r="L30" s="14">
        <f t="shared" si="1"/>
        <v>46259</v>
      </c>
      <c r="M30" s="16">
        <f t="shared" si="2"/>
        <v>25</v>
      </c>
      <c r="N30" s="9" t="str">
        <f t="shared" si="3"/>
        <v>Current</v>
      </c>
    </row>
    <row r="31" ht="15.75" customHeight="1">
      <c r="A31" s="20">
        <v>46229.0</v>
      </c>
      <c r="B31" s="17">
        <v>417.0</v>
      </c>
      <c r="C31" s="17" t="s">
        <v>56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69</v>
      </c>
      <c r="I31" s="17" t="s">
        <v>59</v>
      </c>
      <c r="J31" s="17" t="s">
        <v>46</v>
      </c>
      <c r="K31" s="20">
        <v>46229.0</v>
      </c>
      <c r="L31" s="21">
        <f t="shared" si="1"/>
        <v>46259</v>
      </c>
      <c r="M31" s="23">
        <f t="shared" si="2"/>
        <v>25</v>
      </c>
      <c r="N31" s="11" t="str">
        <f t="shared" si="3"/>
        <v>Current</v>
      </c>
    </row>
    <row r="32" ht="15.75" customHeight="1">
      <c r="A32" s="6">
        <v>46229.0</v>
      </c>
      <c r="B32" s="8">
        <v>104.0</v>
      </c>
      <c r="C32" s="8" t="s">
        <v>56</v>
      </c>
      <c r="D32" s="8" t="s">
        <v>41</v>
      </c>
      <c r="E32" s="8" t="s">
        <v>41</v>
      </c>
      <c r="F32" s="8" t="s">
        <v>41</v>
      </c>
      <c r="G32" s="8" t="s">
        <v>41</v>
      </c>
      <c r="H32" s="17" t="s">
        <v>69</v>
      </c>
      <c r="I32" s="8" t="s">
        <v>59</v>
      </c>
      <c r="J32" s="8" t="s">
        <v>46</v>
      </c>
      <c r="K32" s="6">
        <v>46229.0</v>
      </c>
      <c r="L32" s="14">
        <f t="shared" si="1"/>
        <v>46259</v>
      </c>
      <c r="M32" s="16">
        <f t="shared" si="2"/>
        <v>25</v>
      </c>
      <c r="N32" s="9" t="str">
        <f t="shared" si="3"/>
        <v>Current</v>
      </c>
    </row>
    <row r="33" ht="15.75" customHeight="1">
      <c r="A33" s="20">
        <v>46229.0</v>
      </c>
      <c r="B33" s="17">
        <v>105.0</v>
      </c>
      <c r="C33" s="17" t="s">
        <v>40</v>
      </c>
      <c r="D33" s="17" t="s">
        <v>41</v>
      </c>
      <c r="E33" s="17" t="s">
        <v>41</v>
      </c>
      <c r="F33" s="17" t="s">
        <v>42</v>
      </c>
      <c r="G33" s="17" t="s">
        <v>41</v>
      </c>
      <c r="H33" s="17" t="s">
        <v>118</v>
      </c>
      <c r="I33" s="17" t="s">
        <v>48</v>
      </c>
      <c r="J33" s="17" t="s">
        <v>46</v>
      </c>
      <c r="K33" s="20">
        <v>46229.0</v>
      </c>
      <c r="L33" s="21">
        <f t="shared" si="1"/>
        <v>46259</v>
      </c>
      <c r="M33" s="23">
        <f t="shared" si="2"/>
        <v>25</v>
      </c>
      <c r="N33" s="11" t="str">
        <f t="shared" si="3"/>
        <v>Current</v>
      </c>
    </row>
    <row r="34" ht="15.75" customHeight="1">
      <c r="A34" s="6">
        <v>46229.0</v>
      </c>
      <c r="B34" s="8">
        <v>206.0</v>
      </c>
      <c r="C34" s="8" t="s">
        <v>40</v>
      </c>
      <c r="D34" s="8" t="s">
        <v>41</v>
      </c>
      <c r="E34" s="8" t="s">
        <v>43</v>
      </c>
      <c r="F34" s="8" t="s">
        <v>41</v>
      </c>
      <c r="G34" s="8" t="s">
        <v>41</v>
      </c>
      <c r="H34" s="8" t="s">
        <v>129</v>
      </c>
      <c r="I34" s="8" t="s">
        <v>55</v>
      </c>
      <c r="J34" s="8" t="s">
        <v>46</v>
      </c>
      <c r="K34" s="6">
        <v>46229.0</v>
      </c>
      <c r="L34" s="14">
        <f t="shared" si="1"/>
        <v>46259</v>
      </c>
      <c r="M34" s="16">
        <f t="shared" si="2"/>
        <v>25</v>
      </c>
      <c r="N34" s="9" t="str">
        <f t="shared" si="3"/>
        <v>Current</v>
      </c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21"/>
      <c r="L35" s="21" t="str">
        <f t="shared" si="1"/>
        <v/>
      </c>
      <c r="M35" s="23" t="str">
        <f t="shared" si="2"/>
        <v/>
      </c>
      <c r="N35" s="11" t="str">
        <f t="shared" si="3"/>
        <v/>
      </c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14"/>
      <c r="L36" s="14" t="str">
        <f t="shared" si="1"/>
        <v/>
      </c>
      <c r="M36" s="16" t="str">
        <f t="shared" si="2"/>
        <v/>
      </c>
      <c r="N36" s="9" t="str">
        <f t="shared" si="3"/>
        <v/>
      </c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21"/>
      <c r="L37" s="21" t="str">
        <f t="shared" si="1"/>
        <v/>
      </c>
      <c r="M37" s="23" t="str">
        <f t="shared" si="2"/>
        <v/>
      </c>
      <c r="N37" s="11" t="str">
        <f t="shared" si="3"/>
        <v/>
      </c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14"/>
      <c r="L38" s="14" t="str">
        <f t="shared" si="1"/>
        <v/>
      </c>
      <c r="M38" s="16" t="str">
        <f t="shared" si="2"/>
        <v/>
      </c>
      <c r="N38" s="9" t="str">
        <f t="shared" si="3"/>
        <v/>
      </c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21"/>
      <c r="L39" s="21" t="str">
        <f t="shared" si="1"/>
        <v/>
      </c>
      <c r="M39" s="23" t="str">
        <f t="shared" si="2"/>
        <v/>
      </c>
      <c r="N39" s="11" t="str">
        <f t="shared" si="3"/>
        <v/>
      </c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14"/>
      <c r="L40" s="14" t="str">
        <f t="shared" si="1"/>
        <v/>
      </c>
      <c r="M40" s="16" t="str">
        <f t="shared" si="2"/>
        <v/>
      </c>
      <c r="N40" s="9" t="str">
        <f t="shared" si="3"/>
        <v/>
      </c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21"/>
      <c r="L41" s="21" t="str">
        <f t="shared" si="1"/>
        <v/>
      </c>
      <c r="M41" s="23" t="str">
        <f t="shared" si="2"/>
        <v/>
      </c>
      <c r="N41" s="11" t="str">
        <f t="shared" si="3"/>
        <v/>
      </c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14"/>
      <c r="L42" s="14" t="str">
        <f t="shared" si="1"/>
        <v/>
      </c>
      <c r="M42" s="16" t="str">
        <f t="shared" si="2"/>
        <v/>
      </c>
      <c r="N42" s="9" t="str">
        <f t="shared" si="3"/>
        <v/>
      </c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21"/>
      <c r="L43" s="21" t="str">
        <f t="shared" si="1"/>
        <v/>
      </c>
      <c r="M43" s="23" t="str">
        <f t="shared" si="2"/>
        <v/>
      </c>
      <c r="N43" s="11" t="str">
        <f t="shared" si="3"/>
        <v/>
      </c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14"/>
      <c r="L44" s="14" t="str">
        <f t="shared" si="1"/>
        <v/>
      </c>
      <c r="M44" s="16" t="str">
        <f t="shared" si="2"/>
        <v/>
      </c>
      <c r="N44" s="9" t="str">
        <f t="shared" si="3"/>
        <v/>
      </c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21"/>
      <c r="L45" s="21" t="str">
        <f t="shared" si="1"/>
        <v/>
      </c>
      <c r="M45" s="23" t="str">
        <f t="shared" si="2"/>
        <v/>
      </c>
      <c r="N45" s="11" t="str">
        <f t="shared" si="3"/>
        <v/>
      </c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14"/>
      <c r="L46" s="14" t="str">
        <f t="shared" si="1"/>
        <v/>
      </c>
      <c r="M46" s="16" t="str">
        <f t="shared" si="2"/>
        <v/>
      </c>
      <c r="N46" s="9" t="str">
        <f t="shared" si="3"/>
        <v/>
      </c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21"/>
      <c r="L47" s="21" t="str">
        <f t="shared" si="1"/>
        <v/>
      </c>
      <c r="M47" s="23" t="str">
        <f t="shared" si="2"/>
        <v/>
      </c>
      <c r="N47" s="11" t="str">
        <f t="shared" si="3"/>
        <v/>
      </c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14"/>
      <c r="L48" s="14" t="str">
        <f t="shared" si="1"/>
        <v/>
      </c>
      <c r="M48" s="16" t="str">
        <f t="shared" si="2"/>
        <v/>
      </c>
      <c r="N48" s="9" t="str">
        <f t="shared" si="3"/>
        <v/>
      </c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21"/>
      <c r="L49" s="21" t="str">
        <f t="shared" si="1"/>
        <v/>
      </c>
      <c r="M49" s="23" t="str">
        <f t="shared" si="2"/>
        <v/>
      </c>
      <c r="N49" s="11" t="str">
        <f t="shared" si="3"/>
        <v/>
      </c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14"/>
      <c r="L50" s="14" t="str">
        <f t="shared" si="1"/>
        <v/>
      </c>
      <c r="M50" s="16" t="str">
        <f t="shared" si="2"/>
        <v/>
      </c>
      <c r="N50" s="9" t="str">
        <f t="shared" si="3"/>
        <v/>
      </c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21"/>
      <c r="L51" s="21" t="str">
        <f t="shared" si="1"/>
        <v/>
      </c>
      <c r="M51" s="23" t="str">
        <f t="shared" si="2"/>
        <v/>
      </c>
      <c r="N51" s="11" t="str">
        <f t="shared" si="3"/>
        <v/>
      </c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14"/>
      <c r="L52" s="14" t="str">
        <f t="shared" si="1"/>
        <v/>
      </c>
      <c r="M52" s="16" t="str">
        <f t="shared" si="2"/>
        <v/>
      </c>
      <c r="N52" s="9" t="str">
        <f t="shared" si="3"/>
        <v/>
      </c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21"/>
      <c r="L53" s="21" t="str">
        <f t="shared" si="1"/>
        <v/>
      </c>
      <c r="M53" s="23" t="str">
        <f t="shared" si="2"/>
        <v/>
      </c>
      <c r="N53" s="11" t="str">
        <f t="shared" si="3"/>
        <v/>
      </c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14"/>
      <c r="L54" s="14" t="str">
        <f t="shared" si="1"/>
        <v/>
      </c>
      <c r="M54" s="16" t="str">
        <f t="shared" si="2"/>
        <v/>
      </c>
      <c r="N54" s="9" t="str">
        <f t="shared" si="3"/>
        <v/>
      </c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21"/>
      <c r="L55" s="21" t="str">
        <f t="shared" si="1"/>
        <v/>
      </c>
      <c r="M55" s="23" t="str">
        <f t="shared" si="2"/>
        <v/>
      </c>
      <c r="N55" s="11" t="str">
        <f t="shared" si="3"/>
        <v/>
      </c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14"/>
      <c r="L56" s="14" t="str">
        <f t="shared" si="1"/>
        <v/>
      </c>
      <c r="M56" s="16" t="str">
        <f t="shared" si="2"/>
        <v/>
      </c>
      <c r="N56" s="9" t="str">
        <f t="shared" si="3"/>
        <v/>
      </c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21"/>
      <c r="L57" s="21" t="str">
        <f t="shared" si="1"/>
        <v/>
      </c>
      <c r="M57" s="23" t="str">
        <f t="shared" si="2"/>
        <v/>
      </c>
      <c r="N57" s="11" t="str">
        <f t="shared" si="3"/>
        <v/>
      </c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14"/>
      <c r="L58" s="14" t="str">
        <f t="shared" si="1"/>
        <v/>
      </c>
      <c r="M58" s="16" t="str">
        <f t="shared" si="2"/>
        <v/>
      </c>
      <c r="N58" s="9" t="str">
        <f t="shared" si="3"/>
        <v/>
      </c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21"/>
      <c r="L59" s="21" t="str">
        <f t="shared" si="1"/>
        <v/>
      </c>
      <c r="M59" s="23" t="str">
        <f t="shared" si="2"/>
        <v/>
      </c>
      <c r="N59" s="11" t="str">
        <f t="shared" si="3"/>
        <v/>
      </c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14"/>
      <c r="L60" s="14" t="str">
        <f t="shared" si="1"/>
        <v/>
      </c>
      <c r="M60" s="16" t="str">
        <f t="shared" si="2"/>
        <v/>
      </c>
      <c r="N60" s="9" t="str">
        <f t="shared" si="3"/>
        <v/>
      </c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21"/>
      <c r="L61" s="21" t="str">
        <f t="shared" si="1"/>
        <v/>
      </c>
      <c r="M61" s="23" t="str">
        <f t="shared" si="2"/>
        <v/>
      </c>
      <c r="N61" s="11" t="str">
        <f t="shared" si="3"/>
        <v/>
      </c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14"/>
      <c r="L62" s="14" t="str">
        <f t="shared" si="1"/>
        <v/>
      </c>
      <c r="M62" s="16" t="str">
        <f t="shared" si="2"/>
        <v/>
      </c>
      <c r="N62" s="9" t="str">
        <f t="shared" si="3"/>
        <v/>
      </c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21"/>
      <c r="L63" s="21" t="str">
        <f t="shared" si="1"/>
        <v/>
      </c>
      <c r="M63" s="23" t="str">
        <f t="shared" si="2"/>
        <v/>
      </c>
      <c r="N63" s="11" t="str">
        <f t="shared" si="3"/>
        <v/>
      </c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14"/>
      <c r="L64" s="14" t="str">
        <f t="shared" si="1"/>
        <v/>
      </c>
      <c r="M64" s="16" t="str">
        <f t="shared" si="2"/>
        <v/>
      </c>
      <c r="N64" s="9" t="str">
        <f t="shared" si="3"/>
        <v/>
      </c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21"/>
      <c r="L65" s="21" t="str">
        <f t="shared" si="1"/>
        <v/>
      </c>
      <c r="M65" s="23" t="str">
        <f t="shared" si="2"/>
        <v/>
      </c>
      <c r="N65" s="11" t="str">
        <f t="shared" si="3"/>
        <v/>
      </c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14"/>
      <c r="L66" s="14" t="str">
        <f t="shared" si="1"/>
        <v/>
      </c>
      <c r="M66" s="16" t="str">
        <f t="shared" si="2"/>
        <v/>
      </c>
      <c r="N66" s="9" t="str">
        <f t="shared" si="3"/>
        <v/>
      </c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21"/>
      <c r="L67" s="21" t="str">
        <f t="shared" si="1"/>
        <v/>
      </c>
      <c r="M67" s="23" t="str">
        <f t="shared" si="2"/>
        <v/>
      </c>
      <c r="N67" s="11" t="str">
        <f t="shared" si="3"/>
        <v/>
      </c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14"/>
      <c r="L68" s="14" t="str">
        <f t="shared" si="1"/>
        <v/>
      </c>
      <c r="M68" s="16" t="str">
        <f t="shared" si="2"/>
        <v/>
      </c>
      <c r="N68" s="9" t="str">
        <f t="shared" si="3"/>
        <v/>
      </c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21"/>
      <c r="L69" s="21" t="str">
        <f t="shared" si="1"/>
        <v/>
      </c>
      <c r="M69" s="23" t="str">
        <f t="shared" si="2"/>
        <v/>
      </c>
      <c r="N69" s="11" t="str">
        <f t="shared" si="3"/>
        <v/>
      </c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14"/>
      <c r="L70" s="14" t="str">
        <f t="shared" si="1"/>
        <v/>
      </c>
      <c r="M70" s="16" t="str">
        <f t="shared" si="2"/>
        <v/>
      </c>
      <c r="N70" s="9" t="str">
        <f t="shared" si="3"/>
        <v/>
      </c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21"/>
      <c r="L71" s="21" t="str">
        <f t="shared" si="1"/>
        <v/>
      </c>
      <c r="M71" s="23" t="str">
        <f t="shared" si="2"/>
        <v/>
      </c>
      <c r="N71" s="11" t="str">
        <f t="shared" si="3"/>
        <v/>
      </c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14"/>
      <c r="L72" s="14" t="str">
        <f t="shared" si="1"/>
        <v/>
      </c>
      <c r="M72" s="16" t="str">
        <f t="shared" si="2"/>
        <v/>
      </c>
      <c r="N72" s="9" t="str">
        <f t="shared" si="3"/>
        <v/>
      </c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21"/>
      <c r="L73" s="21" t="str">
        <f t="shared" si="1"/>
        <v/>
      </c>
      <c r="M73" s="23" t="str">
        <f t="shared" si="2"/>
        <v/>
      </c>
      <c r="N73" s="11" t="str">
        <f t="shared" si="3"/>
        <v/>
      </c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14"/>
      <c r="L74" s="14" t="str">
        <f t="shared" si="1"/>
        <v/>
      </c>
      <c r="M74" s="16" t="str">
        <f t="shared" si="2"/>
        <v/>
      </c>
      <c r="N74" s="9" t="str">
        <f t="shared" si="3"/>
        <v/>
      </c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21"/>
      <c r="L75" s="21" t="str">
        <f t="shared" si="1"/>
        <v/>
      </c>
      <c r="M75" s="23" t="str">
        <f t="shared" si="2"/>
        <v/>
      </c>
      <c r="N75" s="11" t="str">
        <f t="shared" si="3"/>
        <v/>
      </c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14"/>
      <c r="L76" s="14" t="str">
        <f t="shared" si="1"/>
        <v/>
      </c>
      <c r="M76" s="16" t="str">
        <f t="shared" si="2"/>
        <v/>
      </c>
      <c r="N76" s="9" t="str">
        <f t="shared" si="3"/>
        <v/>
      </c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21"/>
      <c r="L77" s="21" t="str">
        <f t="shared" si="1"/>
        <v/>
      </c>
      <c r="M77" s="23" t="str">
        <f t="shared" si="2"/>
        <v/>
      </c>
      <c r="N77" s="11" t="str">
        <f t="shared" si="3"/>
        <v/>
      </c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14"/>
      <c r="L78" s="14" t="str">
        <f t="shared" si="1"/>
        <v/>
      </c>
      <c r="M78" s="16" t="str">
        <f t="shared" si="2"/>
        <v/>
      </c>
      <c r="N78" s="9" t="str">
        <f t="shared" si="3"/>
        <v/>
      </c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21"/>
      <c r="L79" s="21" t="str">
        <f t="shared" si="1"/>
        <v/>
      </c>
      <c r="M79" s="23" t="str">
        <f t="shared" si="2"/>
        <v/>
      </c>
      <c r="N79" s="11" t="str">
        <f t="shared" si="3"/>
        <v/>
      </c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14"/>
      <c r="L80" s="14" t="str">
        <f t="shared" si="1"/>
        <v/>
      </c>
      <c r="M80" s="16" t="str">
        <f t="shared" si="2"/>
        <v/>
      </c>
      <c r="N80" s="9" t="str">
        <f t="shared" si="3"/>
        <v/>
      </c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21"/>
      <c r="L81" s="21" t="str">
        <f t="shared" si="1"/>
        <v/>
      </c>
      <c r="M81" s="23" t="str">
        <f t="shared" si="2"/>
        <v/>
      </c>
      <c r="N81" s="11" t="str">
        <f t="shared" si="3"/>
        <v/>
      </c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14"/>
      <c r="L82" s="14" t="str">
        <f t="shared" si="1"/>
        <v/>
      </c>
      <c r="M82" s="16" t="str">
        <f t="shared" si="2"/>
        <v/>
      </c>
      <c r="N82" s="9" t="str">
        <f t="shared" si="3"/>
        <v/>
      </c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21"/>
      <c r="L83" s="21" t="str">
        <f t="shared" si="1"/>
        <v/>
      </c>
      <c r="M83" s="23" t="str">
        <f t="shared" si="2"/>
        <v/>
      </c>
      <c r="N83" s="11" t="str">
        <f t="shared" si="3"/>
        <v/>
      </c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14"/>
      <c r="L84" s="14" t="str">
        <f t="shared" si="1"/>
        <v/>
      </c>
      <c r="M84" s="16" t="str">
        <f t="shared" si="2"/>
        <v/>
      </c>
      <c r="N84" s="9" t="str">
        <f t="shared" si="3"/>
        <v/>
      </c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21"/>
      <c r="L85" s="21" t="str">
        <f t="shared" si="1"/>
        <v/>
      </c>
      <c r="M85" s="23" t="str">
        <f t="shared" si="2"/>
        <v/>
      </c>
      <c r="N85" s="11" t="str">
        <f t="shared" si="3"/>
        <v/>
      </c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14"/>
      <c r="L86" s="14" t="str">
        <f t="shared" si="1"/>
        <v/>
      </c>
      <c r="M86" s="16" t="str">
        <f t="shared" si="2"/>
        <v/>
      </c>
      <c r="N86" s="9" t="str">
        <f t="shared" si="3"/>
        <v/>
      </c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21"/>
      <c r="L87" s="21" t="str">
        <f t="shared" si="1"/>
        <v/>
      </c>
      <c r="M87" s="23" t="str">
        <f t="shared" si="2"/>
        <v/>
      </c>
      <c r="N87" s="11" t="str">
        <f t="shared" si="3"/>
        <v/>
      </c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14"/>
      <c r="L88" s="14" t="str">
        <f t="shared" si="1"/>
        <v/>
      </c>
      <c r="M88" s="16" t="str">
        <f t="shared" si="2"/>
        <v/>
      </c>
      <c r="N88" s="9" t="str">
        <f t="shared" si="3"/>
        <v/>
      </c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21"/>
      <c r="L89" s="21" t="str">
        <f t="shared" si="1"/>
        <v/>
      </c>
      <c r="M89" s="23" t="str">
        <f t="shared" si="2"/>
        <v/>
      </c>
      <c r="N89" s="11" t="str">
        <f t="shared" si="3"/>
        <v/>
      </c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14"/>
      <c r="L90" s="14" t="str">
        <f t="shared" si="1"/>
        <v/>
      </c>
      <c r="M90" s="16" t="str">
        <f t="shared" si="2"/>
        <v/>
      </c>
      <c r="N90" s="9" t="str">
        <f t="shared" si="3"/>
        <v/>
      </c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21"/>
      <c r="L91" s="21" t="str">
        <f t="shared" si="1"/>
        <v/>
      </c>
      <c r="M91" s="23" t="str">
        <f t="shared" si="2"/>
        <v/>
      </c>
      <c r="N91" s="11" t="str">
        <f t="shared" si="3"/>
        <v/>
      </c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14"/>
      <c r="L92" s="14" t="str">
        <f t="shared" si="1"/>
        <v/>
      </c>
      <c r="M92" s="16" t="str">
        <f t="shared" si="2"/>
        <v/>
      </c>
      <c r="N92" s="9" t="str">
        <f t="shared" si="3"/>
        <v/>
      </c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21"/>
      <c r="L93" s="21" t="str">
        <f t="shared" si="1"/>
        <v/>
      </c>
      <c r="M93" s="23" t="str">
        <f t="shared" si="2"/>
        <v/>
      </c>
      <c r="N93" s="11" t="str">
        <f t="shared" si="3"/>
        <v/>
      </c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14"/>
      <c r="L94" s="14" t="str">
        <f t="shared" si="1"/>
        <v/>
      </c>
      <c r="M94" s="16" t="str">
        <f t="shared" si="2"/>
        <v/>
      </c>
      <c r="N94" s="9" t="str">
        <f t="shared" si="3"/>
        <v/>
      </c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21"/>
      <c r="L95" s="21" t="str">
        <f t="shared" si="1"/>
        <v/>
      </c>
      <c r="M95" s="23" t="str">
        <f t="shared" si="2"/>
        <v/>
      </c>
      <c r="N95" s="11" t="str">
        <f t="shared" si="3"/>
        <v/>
      </c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14"/>
      <c r="L96" s="14" t="str">
        <f t="shared" si="1"/>
        <v/>
      </c>
      <c r="M96" s="16" t="str">
        <f t="shared" si="2"/>
        <v/>
      </c>
      <c r="N96" s="9" t="str">
        <f t="shared" si="3"/>
        <v/>
      </c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21"/>
      <c r="L97" s="21" t="str">
        <f t="shared" si="1"/>
        <v/>
      </c>
      <c r="M97" s="23" t="str">
        <f t="shared" si="2"/>
        <v/>
      </c>
      <c r="N97" s="11" t="str">
        <f t="shared" si="3"/>
        <v/>
      </c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14"/>
      <c r="L98" s="14" t="str">
        <f t="shared" si="1"/>
        <v/>
      </c>
      <c r="M98" s="16" t="str">
        <f t="shared" si="2"/>
        <v/>
      </c>
      <c r="N98" s="9" t="str">
        <f t="shared" si="3"/>
        <v/>
      </c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21"/>
      <c r="L99" s="21" t="str">
        <f t="shared" si="1"/>
        <v/>
      </c>
      <c r="M99" s="23" t="str">
        <f t="shared" si="2"/>
        <v/>
      </c>
      <c r="N99" s="11" t="str">
        <f t="shared" si="3"/>
        <v/>
      </c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14"/>
      <c r="L100" s="14" t="str">
        <f t="shared" si="1"/>
        <v/>
      </c>
      <c r="M100" s="16" t="str">
        <f t="shared" si="2"/>
        <v/>
      </c>
      <c r="N100" s="9" t="str">
        <f t="shared" si="3"/>
        <v/>
      </c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21"/>
      <c r="L101" s="21" t="str">
        <f t="shared" si="1"/>
        <v/>
      </c>
      <c r="M101" s="23" t="str">
        <f t="shared" si="2"/>
        <v/>
      </c>
      <c r="N101" s="11" t="str">
        <f t="shared" si="3"/>
        <v/>
      </c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14"/>
      <c r="L102" s="14" t="str">
        <f t="shared" si="1"/>
        <v/>
      </c>
      <c r="M102" s="16" t="str">
        <f t="shared" si="2"/>
        <v/>
      </c>
      <c r="N102" s="9" t="str">
        <f t="shared" si="3"/>
        <v/>
      </c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21"/>
      <c r="L103" s="21" t="str">
        <f t="shared" si="1"/>
        <v/>
      </c>
      <c r="M103" s="23" t="str">
        <f t="shared" si="2"/>
        <v/>
      </c>
      <c r="N103" s="11" t="str">
        <f t="shared" si="3"/>
        <v/>
      </c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14"/>
      <c r="L104" s="14" t="str">
        <f t="shared" si="1"/>
        <v/>
      </c>
      <c r="M104" s="16" t="str">
        <f t="shared" si="2"/>
        <v/>
      </c>
      <c r="N104" s="9" t="str">
        <f t="shared" si="3"/>
        <v/>
      </c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21"/>
      <c r="L105" s="21" t="str">
        <f t="shared" si="1"/>
        <v/>
      </c>
      <c r="M105" s="23" t="str">
        <f t="shared" si="2"/>
        <v/>
      </c>
      <c r="N105" s="11" t="str">
        <f t="shared" si="3"/>
        <v/>
      </c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14"/>
      <c r="L106" s="14" t="str">
        <f t="shared" si="1"/>
        <v/>
      </c>
      <c r="M106" s="16" t="str">
        <f t="shared" si="2"/>
        <v/>
      </c>
      <c r="N106" s="9" t="str">
        <f t="shared" si="3"/>
        <v/>
      </c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21"/>
      <c r="L107" s="21" t="str">
        <f t="shared" si="1"/>
        <v/>
      </c>
      <c r="M107" s="23" t="str">
        <f t="shared" si="2"/>
        <v/>
      </c>
      <c r="N107" s="11" t="str">
        <f t="shared" si="3"/>
        <v/>
      </c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14"/>
      <c r="L108" s="14" t="str">
        <f t="shared" si="1"/>
        <v/>
      </c>
      <c r="M108" s="16" t="str">
        <f t="shared" si="2"/>
        <v/>
      </c>
      <c r="N108" s="9" t="str">
        <f t="shared" si="3"/>
        <v/>
      </c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21"/>
      <c r="L109" s="21" t="str">
        <f t="shared" si="1"/>
        <v/>
      </c>
      <c r="M109" s="23" t="str">
        <f t="shared" si="2"/>
        <v/>
      </c>
      <c r="N109" s="11" t="str">
        <f t="shared" si="3"/>
        <v/>
      </c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14"/>
      <c r="L110" s="14" t="str">
        <f t="shared" si="1"/>
        <v/>
      </c>
      <c r="M110" s="16" t="str">
        <f t="shared" si="2"/>
        <v/>
      </c>
      <c r="N110" s="9" t="str">
        <f t="shared" si="3"/>
        <v/>
      </c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21"/>
      <c r="L111" s="21" t="str">
        <f t="shared" si="1"/>
        <v/>
      </c>
      <c r="M111" s="23" t="str">
        <f t="shared" si="2"/>
        <v/>
      </c>
      <c r="N111" s="11" t="str">
        <f t="shared" si="3"/>
        <v/>
      </c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14"/>
      <c r="L112" s="14" t="str">
        <f t="shared" si="1"/>
        <v/>
      </c>
      <c r="M112" s="16" t="str">
        <f t="shared" si="2"/>
        <v/>
      </c>
      <c r="N112" s="9" t="str">
        <f t="shared" si="3"/>
        <v/>
      </c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21"/>
      <c r="L113" s="21" t="str">
        <f t="shared" si="1"/>
        <v/>
      </c>
      <c r="M113" s="23" t="str">
        <f t="shared" si="2"/>
        <v/>
      </c>
      <c r="N113" s="11" t="str">
        <f t="shared" si="3"/>
        <v/>
      </c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14"/>
      <c r="L114" s="14" t="str">
        <f t="shared" si="1"/>
        <v/>
      </c>
      <c r="M114" s="16" t="str">
        <f t="shared" si="2"/>
        <v/>
      </c>
      <c r="N114" s="9" t="str">
        <f t="shared" si="3"/>
        <v/>
      </c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21"/>
      <c r="L115" s="21" t="str">
        <f t="shared" si="1"/>
        <v/>
      </c>
      <c r="M115" s="23" t="str">
        <f t="shared" si="2"/>
        <v/>
      </c>
      <c r="N115" s="11" t="str">
        <f t="shared" si="3"/>
        <v/>
      </c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14"/>
      <c r="L116" s="14" t="str">
        <f t="shared" si="1"/>
        <v/>
      </c>
      <c r="M116" s="16" t="str">
        <f t="shared" si="2"/>
        <v/>
      </c>
      <c r="N116" s="9" t="str">
        <f t="shared" si="3"/>
        <v/>
      </c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21"/>
      <c r="L117" s="21" t="str">
        <f t="shared" si="1"/>
        <v/>
      </c>
      <c r="M117" s="23" t="str">
        <f t="shared" si="2"/>
        <v/>
      </c>
      <c r="N117" s="11" t="str">
        <f t="shared" si="3"/>
        <v/>
      </c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14"/>
      <c r="L118" s="14" t="str">
        <f t="shared" si="1"/>
        <v/>
      </c>
      <c r="M118" s="16" t="str">
        <f t="shared" si="2"/>
        <v/>
      </c>
      <c r="N118" s="9" t="str">
        <f t="shared" si="3"/>
        <v/>
      </c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21"/>
      <c r="L119" s="21" t="str">
        <f t="shared" si="1"/>
        <v/>
      </c>
      <c r="M119" s="23" t="str">
        <f t="shared" si="2"/>
        <v/>
      </c>
      <c r="N119" s="11" t="str">
        <f t="shared" si="3"/>
        <v/>
      </c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14"/>
      <c r="L120" s="14" t="str">
        <f t="shared" si="1"/>
        <v/>
      </c>
      <c r="M120" s="16" t="str">
        <f t="shared" si="2"/>
        <v/>
      </c>
      <c r="N120" s="9" t="str">
        <f t="shared" si="3"/>
        <v/>
      </c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21"/>
      <c r="L121" s="21" t="str">
        <f t="shared" si="1"/>
        <v/>
      </c>
      <c r="M121" s="23" t="str">
        <f t="shared" si="2"/>
        <v/>
      </c>
      <c r="N121" s="11" t="str">
        <f t="shared" si="3"/>
        <v/>
      </c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14"/>
      <c r="L122" s="14" t="str">
        <f t="shared" si="1"/>
        <v/>
      </c>
      <c r="M122" s="16" t="str">
        <f t="shared" si="2"/>
        <v/>
      </c>
      <c r="N122" s="9" t="str">
        <f t="shared" si="3"/>
        <v/>
      </c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21"/>
      <c r="L123" s="21" t="str">
        <f t="shared" si="1"/>
        <v/>
      </c>
      <c r="M123" s="23" t="str">
        <f t="shared" si="2"/>
        <v/>
      </c>
      <c r="N123" s="11" t="str">
        <f t="shared" si="3"/>
        <v/>
      </c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14"/>
      <c r="L124" s="14" t="str">
        <f t="shared" si="1"/>
        <v/>
      </c>
      <c r="M124" s="16" t="str">
        <f t="shared" si="2"/>
        <v/>
      </c>
      <c r="N124" s="9" t="str">
        <f t="shared" si="3"/>
        <v/>
      </c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21"/>
      <c r="L125" s="21" t="str">
        <f t="shared" si="1"/>
        <v/>
      </c>
      <c r="M125" s="23" t="str">
        <f t="shared" si="2"/>
        <v/>
      </c>
      <c r="N125" s="11" t="str">
        <f t="shared" si="3"/>
        <v/>
      </c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14"/>
      <c r="L126" s="14" t="str">
        <f t="shared" si="1"/>
        <v/>
      </c>
      <c r="M126" s="16" t="str">
        <f t="shared" si="2"/>
        <v/>
      </c>
      <c r="N126" s="9" t="str">
        <f t="shared" si="3"/>
        <v/>
      </c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21"/>
      <c r="L127" s="21" t="str">
        <f t="shared" si="1"/>
        <v/>
      </c>
      <c r="M127" s="23" t="str">
        <f t="shared" si="2"/>
        <v/>
      </c>
      <c r="N127" s="11" t="str">
        <f t="shared" si="3"/>
        <v/>
      </c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14"/>
      <c r="L128" s="14" t="str">
        <f t="shared" si="1"/>
        <v/>
      </c>
      <c r="M128" s="16" t="str">
        <f t="shared" si="2"/>
        <v/>
      </c>
      <c r="N128" s="9" t="str">
        <f t="shared" si="3"/>
        <v/>
      </c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21"/>
      <c r="L129" s="21" t="str">
        <f t="shared" si="1"/>
        <v/>
      </c>
      <c r="M129" s="23" t="str">
        <f t="shared" si="2"/>
        <v/>
      </c>
      <c r="N129" s="11" t="str">
        <f t="shared" si="3"/>
        <v/>
      </c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14"/>
      <c r="L130" s="14" t="str">
        <f t="shared" si="1"/>
        <v/>
      </c>
      <c r="M130" s="16" t="str">
        <f t="shared" si="2"/>
        <v/>
      </c>
      <c r="N130" s="9" t="str">
        <f t="shared" si="3"/>
        <v/>
      </c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21"/>
      <c r="L131" s="21" t="str">
        <f t="shared" si="1"/>
        <v/>
      </c>
      <c r="M131" s="23" t="str">
        <f t="shared" si="2"/>
        <v/>
      </c>
      <c r="N131" s="11" t="str">
        <f t="shared" si="3"/>
        <v/>
      </c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14"/>
      <c r="L132" s="14" t="str">
        <f t="shared" si="1"/>
        <v/>
      </c>
      <c r="M132" s="16" t="str">
        <f t="shared" si="2"/>
        <v/>
      </c>
      <c r="N132" s="9" t="str">
        <f t="shared" si="3"/>
        <v/>
      </c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21"/>
      <c r="L133" s="21" t="str">
        <f t="shared" si="1"/>
        <v/>
      </c>
      <c r="M133" s="23" t="str">
        <f t="shared" si="2"/>
        <v/>
      </c>
      <c r="N133" s="11" t="str">
        <f t="shared" si="3"/>
        <v/>
      </c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14"/>
      <c r="L134" s="14" t="str">
        <f t="shared" si="1"/>
        <v/>
      </c>
      <c r="M134" s="16" t="str">
        <f t="shared" si="2"/>
        <v/>
      </c>
      <c r="N134" s="9" t="str">
        <f t="shared" si="3"/>
        <v/>
      </c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21"/>
      <c r="L135" s="21" t="str">
        <f t="shared" si="1"/>
        <v/>
      </c>
      <c r="M135" s="23" t="str">
        <f t="shared" si="2"/>
        <v/>
      </c>
      <c r="N135" s="11" t="str">
        <f t="shared" si="3"/>
        <v/>
      </c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14"/>
      <c r="L136" s="14" t="str">
        <f t="shared" si="1"/>
        <v/>
      </c>
      <c r="M136" s="16" t="str">
        <f t="shared" si="2"/>
        <v/>
      </c>
      <c r="N136" s="9" t="str">
        <f t="shared" si="3"/>
        <v/>
      </c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21"/>
      <c r="L137" s="21" t="str">
        <f t="shared" si="1"/>
        <v/>
      </c>
      <c r="M137" s="23" t="str">
        <f t="shared" si="2"/>
        <v/>
      </c>
      <c r="N137" s="11" t="str">
        <f t="shared" si="3"/>
        <v/>
      </c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14"/>
      <c r="L138" s="14" t="str">
        <f t="shared" si="1"/>
        <v/>
      </c>
      <c r="M138" s="16" t="str">
        <f t="shared" si="2"/>
        <v/>
      </c>
      <c r="N138" s="9" t="str">
        <f t="shared" si="3"/>
        <v/>
      </c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21"/>
      <c r="L139" s="21" t="str">
        <f t="shared" si="1"/>
        <v/>
      </c>
      <c r="M139" s="23" t="str">
        <f t="shared" si="2"/>
        <v/>
      </c>
      <c r="N139" s="11" t="str">
        <f t="shared" si="3"/>
        <v/>
      </c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14"/>
      <c r="L140" s="14" t="str">
        <f t="shared" si="1"/>
        <v/>
      </c>
      <c r="M140" s="16" t="str">
        <f t="shared" si="2"/>
        <v/>
      </c>
      <c r="N140" s="9" t="str">
        <f t="shared" si="3"/>
        <v/>
      </c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21"/>
      <c r="L141" s="21" t="str">
        <f t="shared" si="1"/>
        <v/>
      </c>
      <c r="M141" s="23" t="str">
        <f t="shared" si="2"/>
        <v/>
      </c>
      <c r="N141" s="11" t="str">
        <f t="shared" si="3"/>
        <v/>
      </c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14"/>
      <c r="L142" s="14" t="str">
        <f t="shared" si="1"/>
        <v/>
      </c>
      <c r="M142" s="16" t="str">
        <f t="shared" si="2"/>
        <v/>
      </c>
      <c r="N142" s="9" t="str">
        <f t="shared" si="3"/>
        <v/>
      </c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21"/>
      <c r="L143" s="21" t="str">
        <f t="shared" si="1"/>
        <v/>
      </c>
      <c r="M143" s="23" t="str">
        <f t="shared" si="2"/>
        <v/>
      </c>
      <c r="N143" s="11" t="str">
        <f t="shared" si="3"/>
        <v/>
      </c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14"/>
      <c r="L144" s="14" t="str">
        <f t="shared" si="1"/>
        <v/>
      </c>
      <c r="M144" s="16" t="str">
        <f t="shared" si="2"/>
        <v/>
      </c>
      <c r="N144" s="9" t="str">
        <f t="shared" si="3"/>
        <v/>
      </c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21"/>
      <c r="L145" s="21" t="str">
        <f t="shared" si="1"/>
        <v/>
      </c>
      <c r="M145" s="23" t="str">
        <f t="shared" si="2"/>
        <v/>
      </c>
      <c r="N145" s="11" t="str">
        <f t="shared" si="3"/>
        <v/>
      </c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14"/>
      <c r="L146" s="14" t="str">
        <f t="shared" si="1"/>
        <v/>
      </c>
      <c r="M146" s="16" t="str">
        <f t="shared" si="2"/>
        <v/>
      </c>
      <c r="N146" s="9" t="str">
        <f t="shared" si="3"/>
        <v/>
      </c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21"/>
      <c r="L147" s="21" t="str">
        <f t="shared" si="1"/>
        <v/>
      </c>
      <c r="M147" s="23" t="str">
        <f t="shared" si="2"/>
        <v/>
      </c>
      <c r="N147" s="11" t="str">
        <f t="shared" si="3"/>
        <v/>
      </c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14"/>
      <c r="L148" s="14" t="str">
        <f t="shared" si="1"/>
        <v/>
      </c>
      <c r="M148" s="16" t="str">
        <f t="shared" si="2"/>
        <v/>
      </c>
      <c r="N148" s="9" t="str">
        <f t="shared" si="3"/>
        <v/>
      </c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21"/>
      <c r="L149" s="21" t="str">
        <f t="shared" si="1"/>
        <v/>
      </c>
      <c r="M149" s="23" t="str">
        <f t="shared" si="2"/>
        <v/>
      </c>
      <c r="N149" s="11" t="str">
        <f t="shared" si="3"/>
        <v/>
      </c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14"/>
      <c r="L150" s="14" t="str">
        <f t="shared" si="1"/>
        <v/>
      </c>
      <c r="M150" s="16" t="str">
        <f t="shared" si="2"/>
        <v/>
      </c>
      <c r="N150" s="9" t="str">
        <f t="shared" si="3"/>
        <v/>
      </c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21"/>
      <c r="L151" s="21" t="str">
        <f t="shared" si="1"/>
        <v/>
      </c>
      <c r="M151" s="23" t="str">
        <f t="shared" si="2"/>
        <v/>
      </c>
      <c r="N151" s="11" t="str">
        <f t="shared" si="3"/>
        <v/>
      </c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14"/>
      <c r="L152" s="14" t="str">
        <f t="shared" si="1"/>
        <v/>
      </c>
      <c r="M152" s="16" t="str">
        <f t="shared" si="2"/>
        <v/>
      </c>
      <c r="N152" s="9" t="str">
        <f t="shared" si="3"/>
        <v/>
      </c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21"/>
      <c r="L153" s="21" t="str">
        <f t="shared" si="1"/>
        <v/>
      </c>
      <c r="M153" s="23" t="str">
        <f t="shared" si="2"/>
        <v/>
      </c>
      <c r="N153" s="11" t="str">
        <f t="shared" si="3"/>
        <v/>
      </c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14"/>
      <c r="L154" s="14" t="str">
        <f t="shared" si="1"/>
        <v/>
      </c>
      <c r="M154" s="16" t="str">
        <f t="shared" si="2"/>
        <v/>
      </c>
      <c r="N154" s="9" t="str">
        <f t="shared" si="3"/>
        <v/>
      </c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21"/>
      <c r="L155" s="21" t="str">
        <f t="shared" si="1"/>
        <v/>
      </c>
      <c r="M155" s="23" t="str">
        <f t="shared" si="2"/>
        <v/>
      </c>
      <c r="N155" s="11" t="str">
        <f t="shared" si="3"/>
        <v/>
      </c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14"/>
      <c r="L156" s="14" t="str">
        <f t="shared" si="1"/>
        <v/>
      </c>
      <c r="M156" s="16" t="str">
        <f t="shared" si="2"/>
        <v/>
      </c>
      <c r="N156" s="9" t="str">
        <f t="shared" si="3"/>
        <v/>
      </c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21"/>
      <c r="L157" s="21" t="str">
        <f t="shared" si="1"/>
        <v/>
      </c>
      <c r="M157" s="23" t="str">
        <f t="shared" si="2"/>
        <v/>
      </c>
      <c r="N157" s="11" t="str">
        <f t="shared" si="3"/>
        <v/>
      </c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14"/>
      <c r="L158" s="14" t="str">
        <f t="shared" si="1"/>
        <v/>
      </c>
      <c r="M158" s="16" t="str">
        <f t="shared" si="2"/>
        <v/>
      </c>
      <c r="N158" s="9" t="str">
        <f t="shared" si="3"/>
        <v/>
      </c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21"/>
      <c r="L159" s="21" t="str">
        <f t="shared" si="1"/>
        <v/>
      </c>
      <c r="M159" s="23" t="str">
        <f t="shared" si="2"/>
        <v/>
      </c>
      <c r="N159" s="11" t="str">
        <f t="shared" si="3"/>
        <v/>
      </c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14" t="str">
        <f t="shared" si="1"/>
        <v/>
      </c>
      <c r="M160" s="16" t="str">
        <f t="shared" si="2"/>
        <v/>
      </c>
      <c r="N160" s="9" t="str">
        <f t="shared" si="3"/>
        <v/>
      </c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21"/>
      <c r="L161" s="21" t="str">
        <f t="shared" si="1"/>
        <v/>
      </c>
      <c r="M161" s="23" t="str">
        <f t="shared" si="2"/>
        <v/>
      </c>
      <c r="N161" s="11" t="str">
        <f t="shared" si="3"/>
        <v/>
      </c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14" t="str">
        <f t="shared" si="1"/>
        <v/>
      </c>
      <c r="M162" s="16" t="str">
        <f t="shared" si="2"/>
        <v/>
      </c>
      <c r="N162" s="9" t="str">
        <f t="shared" si="3"/>
        <v/>
      </c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21"/>
      <c r="L163" s="21" t="str">
        <f t="shared" si="1"/>
        <v/>
      </c>
      <c r="M163" s="23" t="str">
        <f t="shared" si="2"/>
        <v/>
      </c>
      <c r="N163" s="11" t="str">
        <f t="shared" si="3"/>
        <v/>
      </c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14" t="str">
        <f t="shared" si="1"/>
        <v/>
      </c>
      <c r="M164" s="16" t="str">
        <f t="shared" si="2"/>
        <v/>
      </c>
      <c r="N164" s="9" t="str">
        <f t="shared" si="3"/>
        <v/>
      </c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21"/>
      <c r="L165" s="21" t="str">
        <f t="shared" si="1"/>
        <v/>
      </c>
      <c r="M165" s="23" t="str">
        <f t="shared" si="2"/>
        <v/>
      </c>
      <c r="N165" s="11" t="str">
        <f t="shared" si="3"/>
        <v/>
      </c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14" t="str">
        <f t="shared" si="1"/>
        <v/>
      </c>
      <c r="M166" s="16" t="str">
        <f t="shared" si="2"/>
        <v/>
      </c>
      <c r="N166" s="9" t="str">
        <f t="shared" si="3"/>
        <v/>
      </c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21"/>
      <c r="L167" s="21" t="str">
        <f t="shared" si="1"/>
        <v/>
      </c>
      <c r="M167" s="23" t="str">
        <f t="shared" si="2"/>
        <v/>
      </c>
      <c r="N167" s="11" t="str">
        <f t="shared" si="3"/>
        <v/>
      </c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14" t="str">
        <f t="shared" si="1"/>
        <v/>
      </c>
      <c r="M168" s="16" t="str">
        <f t="shared" si="2"/>
        <v/>
      </c>
      <c r="N168" s="9" t="str">
        <f t="shared" si="3"/>
        <v/>
      </c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21"/>
      <c r="L169" s="21" t="str">
        <f t="shared" si="1"/>
        <v/>
      </c>
      <c r="M169" s="23" t="str">
        <f t="shared" si="2"/>
        <v/>
      </c>
      <c r="N169" s="11" t="str">
        <f t="shared" si="3"/>
        <v/>
      </c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14" t="str">
        <f t="shared" si="1"/>
        <v/>
      </c>
      <c r="M170" s="16" t="str">
        <f t="shared" si="2"/>
        <v/>
      </c>
      <c r="N170" s="9" t="str">
        <f t="shared" si="3"/>
        <v/>
      </c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21"/>
      <c r="L171" s="21" t="str">
        <f t="shared" si="1"/>
        <v/>
      </c>
      <c r="M171" s="23" t="str">
        <f t="shared" si="2"/>
        <v/>
      </c>
      <c r="N171" s="11" t="str">
        <f t="shared" si="3"/>
        <v/>
      </c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14" t="str">
        <f t="shared" si="1"/>
        <v/>
      </c>
      <c r="M172" s="16" t="str">
        <f t="shared" si="2"/>
        <v/>
      </c>
      <c r="N172" s="9" t="str">
        <f t="shared" si="3"/>
        <v/>
      </c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21"/>
      <c r="L173" s="21" t="str">
        <f t="shared" si="1"/>
        <v/>
      </c>
      <c r="M173" s="23" t="str">
        <f t="shared" si="2"/>
        <v/>
      </c>
      <c r="N173" s="11" t="str">
        <f t="shared" si="3"/>
        <v/>
      </c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14"/>
      <c r="L174" s="14" t="str">
        <f t="shared" si="1"/>
        <v/>
      </c>
      <c r="M174" s="16" t="str">
        <f t="shared" si="2"/>
        <v/>
      </c>
      <c r="N174" s="9" t="str">
        <f t="shared" si="3"/>
        <v/>
      </c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21"/>
      <c r="L175" s="21" t="str">
        <f t="shared" si="1"/>
        <v/>
      </c>
      <c r="M175" s="23" t="str">
        <f t="shared" si="2"/>
        <v/>
      </c>
      <c r="N175" s="11" t="str">
        <f t="shared" si="3"/>
        <v/>
      </c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14"/>
      <c r="L176" s="14" t="str">
        <f t="shared" si="1"/>
        <v/>
      </c>
      <c r="M176" s="16" t="str">
        <f t="shared" si="2"/>
        <v/>
      </c>
      <c r="N176" s="9" t="str">
        <f t="shared" si="3"/>
        <v/>
      </c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21"/>
      <c r="L177" s="21" t="str">
        <f t="shared" si="1"/>
        <v/>
      </c>
      <c r="M177" s="23" t="str">
        <f t="shared" si="2"/>
        <v/>
      </c>
      <c r="N177" s="11" t="str">
        <f t="shared" si="3"/>
        <v/>
      </c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14"/>
      <c r="L178" s="14" t="str">
        <f t="shared" si="1"/>
        <v/>
      </c>
      <c r="M178" s="16" t="str">
        <f t="shared" si="2"/>
        <v/>
      </c>
      <c r="N178" s="9" t="str">
        <f t="shared" si="3"/>
        <v/>
      </c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21"/>
      <c r="L179" s="21" t="str">
        <f t="shared" si="1"/>
        <v/>
      </c>
      <c r="M179" s="23" t="str">
        <f t="shared" si="2"/>
        <v/>
      </c>
      <c r="N179" s="11" t="str">
        <f t="shared" si="3"/>
        <v/>
      </c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14"/>
      <c r="L180" s="14" t="str">
        <f t="shared" si="1"/>
        <v/>
      </c>
      <c r="M180" s="16" t="str">
        <f t="shared" si="2"/>
        <v/>
      </c>
      <c r="N180" s="9" t="str">
        <f t="shared" si="3"/>
        <v/>
      </c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21"/>
      <c r="L181" s="21" t="str">
        <f t="shared" si="1"/>
        <v/>
      </c>
      <c r="M181" s="23" t="str">
        <f t="shared" si="2"/>
        <v/>
      </c>
      <c r="N181" s="11" t="str">
        <f t="shared" si="3"/>
        <v/>
      </c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14"/>
      <c r="L182" s="14" t="str">
        <f t="shared" si="1"/>
        <v/>
      </c>
      <c r="M182" s="16" t="str">
        <f t="shared" si="2"/>
        <v/>
      </c>
      <c r="N182" s="9" t="str">
        <f t="shared" si="3"/>
        <v/>
      </c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21"/>
      <c r="L183" s="21" t="str">
        <f t="shared" si="1"/>
        <v/>
      </c>
      <c r="M183" s="23" t="str">
        <f t="shared" si="2"/>
        <v/>
      </c>
      <c r="N183" s="11" t="str">
        <f t="shared" si="3"/>
        <v/>
      </c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14"/>
      <c r="L184" s="14" t="str">
        <f t="shared" si="1"/>
        <v/>
      </c>
      <c r="M184" s="16" t="str">
        <f t="shared" si="2"/>
        <v/>
      </c>
      <c r="N184" s="9" t="str">
        <f t="shared" si="3"/>
        <v/>
      </c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21"/>
      <c r="L185" s="21" t="str">
        <f t="shared" si="1"/>
        <v/>
      </c>
      <c r="M185" s="23" t="str">
        <f t="shared" si="2"/>
        <v/>
      </c>
      <c r="N185" s="11" t="str">
        <f t="shared" si="3"/>
        <v/>
      </c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14"/>
      <c r="L186" s="14" t="str">
        <f t="shared" si="1"/>
        <v/>
      </c>
      <c r="M186" s="16" t="str">
        <f t="shared" si="2"/>
        <v/>
      </c>
      <c r="N186" s="9" t="str">
        <f t="shared" si="3"/>
        <v/>
      </c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21"/>
      <c r="L187" s="21" t="str">
        <f t="shared" si="1"/>
        <v/>
      </c>
      <c r="M187" s="23" t="str">
        <f t="shared" si="2"/>
        <v/>
      </c>
      <c r="N187" s="11" t="str">
        <f t="shared" si="3"/>
        <v/>
      </c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14"/>
      <c r="L188" s="14" t="str">
        <f t="shared" si="1"/>
        <v/>
      </c>
      <c r="M188" s="16" t="str">
        <f t="shared" si="2"/>
        <v/>
      </c>
      <c r="N188" s="9" t="str">
        <f t="shared" si="3"/>
        <v/>
      </c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21"/>
      <c r="L189" s="21" t="str">
        <f t="shared" si="1"/>
        <v/>
      </c>
      <c r="M189" s="23" t="str">
        <f t="shared" si="2"/>
        <v/>
      </c>
      <c r="N189" s="11" t="str">
        <f t="shared" si="3"/>
        <v/>
      </c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14"/>
      <c r="L190" s="14" t="str">
        <f t="shared" si="1"/>
        <v/>
      </c>
      <c r="M190" s="16" t="str">
        <f t="shared" si="2"/>
        <v/>
      </c>
      <c r="N190" s="9" t="str">
        <f t="shared" si="3"/>
        <v/>
      </c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21"/>
      <c r="L191" s="21" t="str">
        <f t="shared" si="1"/>
        <v/>
      </c>
      <c r="M191" s="23" t="str">
        <f t="shared" si="2"/>
        <v/>
      </c>
      <c r="N191" s="11" t="str">
        <f t="shared" si="3"/>
        <v/>
      </c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14"/>
      <c r="L192" s="14" t="str">
        <f t="shared" si="1"/>
        <v/>
      </c>
      <c r="M192" s="16" t="str">
        <f t="shared" si="2"/>
        <v/>
      </c>
      <c r="N192" s="9" t="str">
        <f t="shared" si="3"/>
        <v/>
      </c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21"/>
      <c r="L193" s="21" t="str">
        <f t="shared" si="1"/>
        <v/>
      </c>
      <c r="M193" s="23" t="str">
        <f t="shared" si="2"/>
        <v/>
      </c>
      <c r="N193" s="11" t="str">
        <f t="shared" si="3"/>
        <v/>
      </c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14"/>
      <c r="L194" s="14" t="str">
        <f t="shared" si="1"/>
        <v/>
      </c>
      <c r="M194" s="16" t="str">
        <f t="shared" si="2"/>
        <v/>
      </c>
      <c r="N194" s="9" t="str">
        <f t="shared" si="3"/>
        <v/>
      </c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21"/>
      <c r="L195" s="21" t="str">
        <f t="shared" si="1"/>
        <v/>
      </c>
      <c r="M195" s="23" t="str">
        <f t="shared" si="2"/>
        <v/>
      </c>
      <c r="N195" s="11" t="str">
        <f t="shared" si="3"/>
        <v/>
      </c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14"/>
      <c r="L196" s="14" t="str">
        <f t="shared" si="1"/>
        <v/>
      </c>
      <c r="M196" s="16" t="str">
        <f t="shared" si="2"/>
        <v/>
      </c>
      <c r="N196" s="9" t="str">
        <f t="shared" si="3"/>
        <v/>
      </c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21"/>
      <c r="L197" s="21" t="str">
        <f t="shared" si="1"/>
        <v/>
      </c>
      <c r="M197" s="23" t="str">
        <f t="shared" si="2"/>
        <v/>
      </c>
      <c r="N197" s="11" t="str">
        <f t="shared" si="3"/>
        <v/>
      </c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14"/>
      <c r="L198" s="14" t="str">
        <f t="shared" si="1"/>
        <v/>
      </c>
      <c r="M198" s="16" t="str">
        <f t="shared" si="2"/>
        <v/>
      </c>
      <c r="N198" s="9" t="str">
        <f t="shared" si="3"/>
        <v/>
      </c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21"/>
      <c r="L199" s="21" t="str">
        <f t="shared" si="1"/>
        <v/>
      </c>
      <c r="M199" s="23" t="str">
        <f t="shared" si="2"/>
        <v/>
      </c>
      <c r="N199" s="11" t="str">
        <f t="shared" si="3"/>
        <v/>
      </c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14"/>
      <c r="L200" s="14" t="str">
        <f t="shared" si="1"/>
        <v/>
      </c>
      <c r="M200" s="16" t="str">
        <f t="shared" si="2"/>
        <v/>
      </c>
      <c r="N200" s="9" t="str">
        <f t="shared" si="3"/>
        <v/>
      </c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21"/>
      <c r="L201" s="21" t="str">
        <f t="shared" si="1"/>
        <v/>
      </c>
      <c r="M201" s="23" t="str">
        <f t="shared" si="2"/>
        <v/>
      </c>
      <c r="N201" s="11" t="str">
        <f t="shared" si="3"/>
        <v/>
      </c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14"/>
      <c r="L202" s="14" t="str">
        <f t="shared" si="1"/>
        <v/>
      </c>
      <c r="M202" s="16" t="str">
        <f t="shared" si="2"/>
        <v/>
      </c>
      <c r="N202" s="9" t="str">
        <f t="shared" si="3"/>
        <v/>
      </c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21"/>
      <c r="L203" s="21" t="str">
        <f t="shared" si="1"/>
        <v/>
      </c>
      <c r="M203" s="23" t="str">
        <f t="shared" si="2"/>
        <v/>
      </c>
      <c r="N203" s="11" t="str">
        <f t="shared" si="3"/>
        <v/>
      </c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14"/>
      <c r="L204" s="14" t="str">
        <f t="shared" si="1"/>
        <v/>
      </c>
      <c r="M204" s="16" t="str">
        <f t="shared" si="2"/>
        <v/>
      </c>
      <c r="N204" s="9" t="str">
        <f t="shared" si="3"/>
        <v/>
      </c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21"/>
      <c r="L205" s="21" t="str">
        <f t="shared" si="1"/>
        <v/>
      </c>
      <c r="M205" s="23" t="str">
        <f t="shared" si="2"/>
        <v/>
      </c>
      <c r="N205" s="11" t="str">
        <f t="shared" si="3"/>
        <v/>
      </c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14"/>
      <c r="L206" s="14" t="str">
        <f t="shared" si="1"/>
        <v/>
      </c>
      <c r="M206" s="16" t="str">
        <f t="shared" si="2"/>
        <v/>
      </c>
      <c r="N206" s="9" t="str">
        <f t="shared" si="3"/>
        <v/>
      </c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21"/>
      <c r="L207" s="21" t="str">
        <f t="shared" si="1"/>
        <v/>
      </c>
      <c r="M207" s="23" t="str">
        <f t="shared" si="2"/>
        <v/>
      </c>
      <c r="N207" s="11" t="str">
        <f t="shared" si="3"/>
        <v/>
      </c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14"/>
      <c r="L208" s="14" t="str">
        <f t="shared" si="1"/>
        <v/>
      </c>
      <c r="M208" s="16" t="str">
        <f t="shared" si="2"/>
        <v/>
      </c>
      <c r="N208" s="9" t="str">
        <f t="shared" si="3"/>
        <v/>
      </c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21"/>
      <c r="L209" s="21" t="str">
        <f t="shared" si="1"/>
        <v/>
      </c>
      <c r="M209" s="23" t="str">
        <f t="shared" si="2"/>
        <v/>
      </c>
      <c r="N209" s="11" t="str">
        <f t="shared" si="3"/>
        <v/>
      </c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14"/>
      <c r="L210" s="14" t="str">
        <f t="shared" si="1"/>
        <v/>
      </c>
      <c r="M210" s="16" t="str">
        <f t="shared" si="2"/>
        <v/>
      </c>
      <c r="N210" s="9" t="str">
        <f t="shared" si="3"/>
        <v/>
      </c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21"/>
      <c r="L211" s="21" t="str">
        <f t="shared" si="1"/>
        <v/>
      </c>
      <c r="M211" s="23" t="str">
        <f t="shared" si="2"/>
        <v/>
      </c>
      <c r="N211" s="11" t="str">
        <f t="shared" si="3"/>
        <v/>
      </c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14"/>
      <c r="L212" s="14" t="str">
        <f t="shared" si="1"/>
        <v/>
      </c>
      <c r="M212" s="16" t="str">
        <f t="shared" si="2"/>
        <v/>
      </c>
      <c r="N212" s="9" t="str">
        <f t="shared" si="3"/>
        <v/>
      </c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21"/>
      <c r="L213" s="21" t="str">
        <f t="shared" si="1"/>
        <v/>
      </c>
      <c r="M213" s="23" t="str">
        <f t="shared" si="2"/>
        <v/>
      </c>
      <c r="N213" s="11" t="str">
        <f t="shared" si="3"/>
        <v/>
      </c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14"/>
      <c r="L214" s="14" t="str">
        <f t="shared" si="1"/>
        <v/>
      </c>
      <c r="M214" s="16" t="str">
        <f t="shared" si="2"/>
        <v/>
      </c>
      <c r="N214" s="9" t="str">
        <f t="shared" si="3"/>
        <v/>
      </c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21"/>
      <c r="L215" s="21" t="str">
        <f t="shared" si="1"/>
        <v/>
      </c>
      <c r="M215" s="23" t="str">
        <f t="shared" si="2"/>
        <v/>
      </c>
      <c r="N215" s="11" t="str">
        <f t="shared" si="3"/>
        <v/>
      </c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14"/>
      <c r="L216" s="14" t="str">
        <f t="shared" si="1"/>
        <v/>
      </c>
      <c r="M216" s="16" t="str">
        <f t="shared" si="2"/>
        <v/>
      </c>
      <c r="N216" s="9" t="str">
        <f t="shared" si="3"/>
        <v/>
      </c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21"/>
      <c r="L217" s="21" t="str">
        <f t="shared" si="1"/>
        <v/>
      </c>
      <c r="M217" s="23" t="str">
        <f t="shared" si="2"/>
        <v/>
      </c>
      <c r="N217" s="11" t="str">
        <f t="shared" si="3"/>
        <v/>
      </c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14"/>
      <c r="L218" s="14" t="str">
        <f t="shared" si="1"/>
        <v/>
      </c>
      <c r="M218" s="16" t="str">
        <f t="shared" si="2"/>
        <v/>
      </c>
      <c r="N218" s="9" t="str">
        <f t="shared" si="3"/>
        <v/>
      </c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21"/>
      <c r="L219" s="21" t="str">
        <f t="shared" si="1"/>
        <v/>
      </c>
      <c r="M219" s="23" t="str">
        <f t="shared" si="2"/>
        <v/>
      </c>
      <c r="N219" s="11" t="str">
        <f t="shared" si="3"/>
        <v/>
      </c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14"/>
      <c r="L220" s="14" t="str">
        <f t="shared" si="1"/>
        <v/>
      </c>
      <c r="M220" s="16" t="str">
        <f t="shared" si="2"/>
        <v/>
      </c>
      <c r="N220" s="9" t="str">
        <f t="shared" si="3"/>
        <v/>
      </c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21"/>
      <c r="L221" s="21" t="str">
        <f t="shared" si="1"/>
        <v/>
      </c>
      <c r="M221" s="23" t="str">
        <f t="shared" si="2"/>
        <v/>
      </c>
      <c r="N221" s="11" t="str">
        <f t="shared" si="3"/>
        <v/>
      </c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14"/>
      <c r="L222" s="14" t="str">
        <f t="shared" si="1"/>
        <v/>
      </c>
      <c r="M222" s="16" t="str">
        <f t="shared" si="2"/>
        <v/>
      </c>
      <c r="N222" s="9" t="str">
        <f t="shared" si="3"/>
        <v/>
      </c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21"/>
      <c r="L223" s="21" t="str">
        <f t="shared" si="1"/>
        <v/>
      </c>
      <c r="M223" s="23" t="str">
        <f t="shared" si="2"/>
        <v/>
      </c>
      <c r="N223" s="11" t="str">
        <f t="shared" si="3"/>
        <v/>
      </c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14"/>
      <c r="L224" s="14" t="str">
        <f t="shared" si="1"/>
        <v/>
      </c>
      <c r="M224" s="16" t="str">
        <f t="shared" si="2"/>
        <v/>
      </c>
      <c r="N224" s="9" t="str">
        <f t="shared" si="3"/>
        <v/>
      </c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21"/>
      <c r="L225" s="21" t="str">
        <f t="shared" si="1"/>
        <v/>
      </c>
      <c r="M225" s="23" t="str">
        <f t="shared" si="2"/>
        <v/>
      </c>
      <c r="N225" s="11" t="str">
        <f t="shared" si="3"/>
        <v/>
      </c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14"/>
      <c r="L226" s="14" t="str">
        <f t="shared" si="1"/>
        <v/>
      </c>
      <c r="M226" s="16" t="str">
        <f t="shared" si="2"/>
        <v/>
      </c>
      <c r="N226" s="9" t="str">
        <f t="shared" si="3"/>
        <v/>
      </c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21"/>
      <c r="L227" s="21" t="str">
        <f t="shared" si="1"/>
        <v/>
      </c>
      <c r="M227" s="23" t="str">
        <f t="shared" si="2"/>
        <v/>
      </c>
      <c r="N227" s="11" t="str">
        <f t="shared" si="3"/>
        <v/>
      </c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14"/>
      <c r="L228" s="14" t="str">
        <f t="shared" si="1"/>
        <v/>
      </c>
      <c r="M228" s="16" t="str">
        <f t="shared" si="2"/>
        <v/>
      </c>
      <c r="N228" s="9" t="str">
        <f t="shared" si="3"/>
        <v/>
      </c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21"/>
      <c r="L229" s="21" t="str">
        <f t="shared" si="1"/>
        <v/>
      </c>
      <c r="M229" s="23" t="str">
        <f t="shared" si="2"/>
        <v/>
      </c>
      <c r="N229" s="11" t="str">
        <f t="shared" si="3"/>
        <v/>
      </c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14"/>
      <c r="L230" s="14" t="str">
        <f t="shared" si="1"/>
        <v/>
      </c>
      <c r="M230" s="16" t="str">
        <f t="shared" si="2"/>
        <v/>
      </c>
      <c r="N230" s="9" t="str">
        <f t="shared" si="3"/>
        <v/>
      </c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21"/>
      <c r="L231" s="21" t="str">
        <f t="shared" si="1"/>
        <v/>
      </c>
      <c r="M231" s="23" t="str">
        <f t="shared" si="2"/>
        <v/>
      </c>
      <c r="N231" s="11" t="str">
        <f t="shared" si="3"/>
        <v/>
      </c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14"/>
      <c r="L232" s="14" t="str">
        <f t="shared" si="1"/>
        <v/>
      </c>
      <c r="M232" s="16" t="str">
        <f t="shared" si="2"/>
        <v/>
      </c>
      <c r="N232" s="9" t="str">
        <f t="shared" si="3"/>
        <v/>
      </c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21"/>
      <c r="L233" s="21" t="str">
        <f t="shared" si="1"/>
        <v/>
      </c>
      <c r="M233" s="23" t="str">
        <f t="shared" si="2"/>
        <v/>
      </c>
      <c r="N233" s="11" t="str">
        <f t="shared" si="3"/>
        <v/>
      </c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14"/>
      <c r="L234" s="14" t="str">
        <f t="shared" si="1"/>
        <v/>
      </c>
      <c r="M234" s="16" t="str">
        <f t="shared" si="2"/>
        <v/>
      </c>
      <c r="N234" s="9" t="str">
        <f t="shared" si="3"/>
        <v/>
      </c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21"/>
      <c r="L235" s="21" t="str">
        <f t="shared" si="1"/>
        <v/>
      </c>
      <c r="M235" s="23" t="str">
        <f t="shared" si="2"/>
        <v/>
      </c>
      <c r="N235" s="11" t="str">
        <f t="shared" si="3"/>
        <v/>
      </c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14"/>
      <c r="L236" s="14" t="str">
        <f t="shared" si="1"/>
        <v/>
      </c>
      <c r="M236" s="16" t="str">
        <f t="shared" si="2"/>
        <v/>
      </c>
      <c r="N236" s="9" t="str">
        <f t="shared" si="3"/>
        <v/>
      </c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21"/>
      <c r="L237" s="21" t="str">
        <f t="shared" si="1"/>
        <v/>
      </c>
      <c r="M237" s="23" t="str">
        <f t="shared" si="2"/>
        <v/>
      </c>
      <c r="N237" s="11" t="str">
        <f t="shared" si="3"/>
        <v/>
      </c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14"/>
      <c r="L238" s="14" t="str">
        <f t="shared" si="1"/>
        <v/>
      </c>
      <c r="M238" s="16" t="str">
        <f t="shared" si="2"/>
        <v/>
      </c>
      <c r="N238" s="9" t="str">
        <f t="shared" si="3"/>
        <v/>
      </c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21"/>
      <c r="L239" s="21" t="str">
        <f t="shared" si="1"/>
        <v/>
      </c>
      <c r="M239" s="23" t="str">
        <f t="shared" si="2"/>
        <v/>
      </c>
      <c r="N239" s="11" t="str">
        <f t="shared" si="3"/>
        <v/>
      </c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14"/>
      <c r="L240" s="14" t="str">
        <f t="shared" si="1"/>
        <v/>
      </c>
      <c r="M240" s="16" t="str">
        <f t="shared" si="2"/>
        <v/>
      </c>
      <c r="N240" s="9" t="str">
        <f t="shared" si="3"/>
        <v/>
      </c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21"/>
      <c r="L241" s="21" t="str">
        <f t="shared" si="1"/>
        <v/>
      </c>
      <c r="M241" s="23" t="str">
        <f t="shared" si="2"/>
        <v/>
      </c>
      <c r="N241" s="11" t="str">
        <f t="shared" si="3"/>
        <v/>
      </c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14"/>
      <c r="L242" s="14" t="str">
        <f t="shared" si="1"/>
        <v/>
      </c>
      <c r="M242" s="16" t="str">
        <f t="shared" si="2"/>
        <v/>
      </c>
      <c r="N242" s="9" t="str">
        <f t="shared" si="3"/>
        <v/>
      </c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21"/>
      <c r="L243" s="21" t="str">
        <f t="shared" si="1"/>
        <v/>
      </c>
      <c r="M243" s="23" t="str">
        <f t="shared" si="2"/>
        <v/>
      </c>
      <c r="N243" s="11" t="str">
        <f t="shared" si="3"/>
        <v/>
      </c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14"/>
      <c r="L244" s="14" t="str">
        <f t="shared" si="1"/>
        <v/>
      </c>
      <c r="M244" s="16" t="str">
        <f t="shared" si="2"/>
        <v/>
      </c>
      <c r="N244" s="9" t="str">
        <f t="shared" si="3"/>
        <v/>
      </c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21"/>
      <c r="L245" s="21" t="str">
        <f t="shared" si="1"/>
        <v/>
      </c>
      <c r="M245" s="23" t="str">
        <f t="shared" si="2"/>
        <v/>
      </c>
      <c r="N245" s="11" t="str">
        <f t="shared" si="3"/>
        <v/>
      </c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14"/>
      <c r="L246" s="14" t="str">
        <f t="shared" si="1"/>
        <v/>
      </c>
      <c r="M246" s="16" t="str">
        <f t="shared" si="2"/>
        <v/>
      </c>
      <c r="N246" s="9" t="str">
        <f t="shared" si="3"/>
        <v/>
      </c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21"/>
      <c r="L247" s="21" t="str">
        <f t="shared" si="1"/>
        <v/>
      </c>
      <c r="M247" s="23" t="str">
        <f t="shared" si="2"/>
        <v/>
      </c>
      <c r="N247" s="11" t="str">
        <f t="shared" si="3"/>
        <v/>
      </c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14"/>
      <c r="L248" s="14" t="str">
        <f t="shared" si="1"/>
        <v/>
      </c>
      <c r="M248" s="16" t="str">
        <f t="shared" si="2"/>
        <v/>
      </c>
      <c r="N248" s="9" t="str">
        <f t="shared" si="3"/>
        <v/>
      </c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21"/>
      <c r="L249" s="21" t="str">
        <f t="shared" si="1"/>
        <v/>
      </c>
      <c r="M249" s="23" t="str">
        <f t="shared" si="2"/>
        <v/>
      </c>
      <c r="N249" s="11" t="str">
        <f t="shared" si="3"/>
        <v/>
      </c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14"/>
      <c r="L250" s="14" t="str">
        <f t="shared" si="1"/>
        <v/>
      </c>
      <c r="M250" s="16" t="str">
        <f t="shared" si="2"/>
        <v/>
      </c>
      <c r="N250" s="9" t="str">
        <f t="shared" si="3"/>
        <v/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N$250"/>
  <mergeCells count="2">
    <mergeCell ref="A1:N1"/>
    <mergeCell ref="A2:N2"/>
  </mergeCells>
  <conditionalFormatting sqref="C4:C250">
    <cfRule type="cellIs" dxfId="2" priority="1" stopIfTrue="1" operator="equal">
      <formula>"Pass"</formula>
    </cfRule>
  </conditionalFormatting>
  <conditionalFormatting sqref="C4:C250">
    <cfRule type="cellIs" dxfId="0" priority="2" stopIfTrue="1" operator="equal">
      <formula>"Follow-Up"</formula>
    </cfRule>
  </conditionalFormatting>
  <conditionalFormatting sqref="C4:C250">
    <cfRule type="cellIs" dxfId="3" priority="3" stopIfTrue="1" operator="equal">
      <formula>"Fail"</formula>
    </cfRule>
  </conditionalFormatting>
  <conditionalFormatting sqref="I4:I250">
    <cfRule type="cellIs" dxfId="3" priority="4" stopIfTrue="1" operator="equal">
      <formula>"Critical"</formula>
    </cfRule>
  </conditionalFormatting>
  <conditionalFormatting sqref="N4:N250">
    <cfRule type="cellIs" dxfId="2" priority="5" stopIfTrue="1" operator="equal">
      <formula>"Current"</formula>
    </cfRule>
  </conditionalFormatting>
  <conditionalFormatting sqref="N4:N250">
    <cfRule type="cellIs" dxfId="0" priority="6" stopIfTrue="1" operator="equal">
      <formula>"Due Soon"</formula>
    </cfRule>
  </conditionalFormatting>
  <conditionalFormatting sqref="N4:N250">
    <cfRule type="cellIs" dxfId="3" priority="7" stopIfTrue="1" operator="equal">
      <formula>"Overdue"</formula>
    </cfRule>
  </conditionalFormatting>
  <dataValidations>
    <dataValidation type="list" allowBlank="1" showErrorMessage="1" sqref="D4:G250">
      <formula1>Lists!$B$4:$B$6</formula1>
    </dataValidation>
    <dataValidation type="custom" allowBlank="1" showDropDown="1" showErrorMessage="1" sqref="K4:K250">
      <formula1>OR(NOT(ISERROR(DATEVALUE(K4))), AND(ISNUMBER(K4), LEFT(CELL("format", K4))="D"))</formula1>
    </dataValidation>
    <dataValidation type="list" allowBlank="1" showErrorMessage="1" sqref="I4:I250">
      <formula1>Lists!$C$4:$C$7</formula1>
    </dataValidation>
    <dataValidation type="list" allowBlank="1" showErrorMessage="1" sqref="C4:C250">
      <formula1>Lists!$A$4:$A$6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2.63"/>
    <col customWidth="1" min="2" max="2" width="13.88"/>
    <col customWidth="1" min="3" max="5" width="17.63"/>
    <col customWidth="1" min="6" max="6" width="11.38"/>
    <col customWidth="1" min="7" max="8" width="9.5"/>
    <col customWidth="1" min="9" max="9" width="10.75"/>
    <col customWidth="1" min="10" max="11" width="13.88"/>
    <col customWidth="1" min="12" max="12" width="11.38"/>
    <col customWidth="1" min="13" max="13" width="15.13"/>
    <col customWidth="1" min="14" max="14" width="30.13"/>
  </cols>
  <sheetData>
    <row r="1" ht="15.75" customHeight="1">
      <c r="A1" s="1" t="s">
        <v>2</v>
      </c>
    </row>
    <row r="2" ht="15.75" customHeight="1">
      <c r="A2" s="3" t="s">
        <v>6</v>
      </c>
    </row>
    <row r="3" ht="15.75" customHeight="1">
      <c r="A3" s="4" t="s">
        <v>10</v>
      </c>
      <c r="B3" s="4" t="s">
        <v>13</v>
      </c>
      <c r="C3" s="4" t="s">
        <v>16</v>
      </c>
      <c r="D3" s="4" t="s">
        <v>19</v>
      </c>
      <c r="E3" s="4" t="s">
        <v>22</v>
      </c>
      <c r="F3" s="4" t="s">
        <v>24</v>
      </c>
      <c r="G3" s="4" t="s">
        <v>27</v>
      </c>
      <c r="H3" s="4" t="s">
        <v>30</v>
      </c>
      <c r="I3" s="4" t="s">
        <v>31</v>
      </c>
      <c r="J3" s="4" t="s">
        <v>34</v>
      </c>
      <c r="K3" s="4" t="s">
        <v>36</v>
      </c>
      <c r="L3" s="4" t="s">
        <v>37</v>
      </c>
      <c r="M3" s="4" t="s">
        <v>39</v>
      </c>
      <c r="N3" s="4" t="s">
        <v>23</v>
      </c>
    </row>
    <row r="4" ht="15.75" customHeight="1">
      <c r="A4" s="9"/>
      <c r="B4" s="9"/>
      <c r="C4" s="9"/>
      <c r="D4" s="9"/>
      <c r="E4" s="9"/>
      <c r="F4" s="10"/>
      <c r="G4" s="9"/>
      <c r="H4" s="9"/>
      <c r="I4" s="9"/>
      <c r="J4" s="9"/>
      <c r="K4" s="9"/>
      <c r="L4" s="9"/>
      <c r="M4" s="9"/>
      <c r="N4" s="9"/>
    </row>
    <row r="5" ht="15.75" customHeight="1">
      <c r="A5" s="11"/>
      <c r="B5" s="11"/>
      <c r="C5" s="11"/>
      <c r="D5" s="11"/>
      <c r="E5" s="11"/>
      <c r="F5" s="12"/>
      <c r="G5" s="11"/>
      <c r="H5" s="11"/>
      <c r="I5" s="11"/>
      <c r="J5" s="11"/>
      <c r="K5" s="11"/>
      <c r="L5" s="11"/>
      <c r="M5" s="11"/>
      <c r="N5" s="11"/>
    </row>
    <row r="6" ht="15.75" customHeight="1">
      <c r="A6" s="9"/>
      <c r="B6" s="9"/>
      <c r="C6" s="9"/>
      <c r="D6" s="9"/>
      <c r="E6" s="9"/>
      <c r="F6" s="10"/>
      <c r="G6" s="9"/>
      <c r="H6" s="9"/>
      <c r="I6" s="9"/>
      <c r="J6" s="9"/>
      <c r="K6" s="9"/>
      <c r="L6" s="9"/>
      <c r="M6" s="9"/>
      <c r="N6" s="9"/>
    </row>
    <row r="7" ht="15.75" customHeight="1">
      <c r="A7" s="11"/>
      <c r="B7" s="11"/>
      <c r="C7" s="11"/>
      <c r="D7" s="11"/>
      <c r="E7" s="11"/>
      <c r="F7" s="12"/>
      <c r="G7" s="11"/>
      <c r="H7" s="11"/>
      <c r="I7" s="11"/>
      <c r="J7" s="11"/>
      <c r="K7" s="11"/>
      <c r="L7" s="11"/>
      <c r="M7" s="11"/>
      <c r="N7" s="11"/>
    </row>
    <row r="8" ht="15.75" customHeight="1">
      <c r="A8" s="9"/>
      <c r="B8" s="9"/>
      <c r="C8" s="9"/>
      <c r="D8" s="9"/>
      <c r="E8" s="9"/>
      <c r="F8" s="10"/>
      <c r="G8" s="9"/>
      <c r="H8" s="9"/>
      <c r="I8" s="9"/>
      <c r="J8" s="9"/>
      <c r="K8" s="9"/>
      <c r="L8" s="9"/>
      <c r="M8" s="9"/>
      <c r="N8" s="9"/>
    </row>
    <row r="9" ht="15.75" customHeight="1">
      <c r="F9" s="24"/>
      <c r="L9" s="2"/>
    </row>
    <row r="10" ht="15.75" customHeight="1">
      <c r="F10" s="24"/>
      <c r="L10" s="2"/>
    </row>
    <row r="11" ht="15.75" customHeight="1">
      <c r="F11" s="24"/>
      <c r="L11" s="2"/>
    </row>
    <row r="12" ht="15.75" customHeight="1">
      <c r="F12" s="24"/>
      <c r="L12" s="2"/>
    </row>
    <row r="13" ht="15.75" customHeight="1">
      <c r="F13" s="24"/>
      <c r="L13" s="2"/>
    </row>
    <row r="14" ht="15.75" customHeight="1">
      <c r="F14" s="24"/>
      <c r="L14" s="2"/>
    </row>
    <row r="15" ht="15.75" customHeight="1">
      <c r="F15" s="24"/>
      <c r="L15" s="2"/>
    </row>
    <row r="16" ht="15.75" customHeight="1">
      <c r="F16" s="24"/>
      <c r="L16" s="2"/>
    </row>
    <row r="17" ht="15.75" customHeight="1">
      <c r="F17" s="24"/>
      <c r="L17" s="2"/>
    </row>
    <row r="18" ht="15.75" customHeight="1">
      <c r="F18" s="24"/>
      <c r="L18" s="2"/>
    </row>
    <row r="19" ht="15.75" customHeight="1">
      <c r="F19" s="24"/>
      <c r="L19" s="2"/>
    </row>
    <row r="20" ht="15.75" customHeight="1">
      <c r="F20" s="24"/>
      <c r="L20" s="2"/>
    </row>
    <row r="21" ht="15.75" customHeight="1">
      <c r="F21" s="24"/>
      <c r="L21" s="2"/>
    </row>
    <row r="22" ht="15.75" customHeight="1">
      <c r="F22" s="24"/>
      <c r="L22" s="2"/>
    </row>
    <row r="23" ht="15.75" customHeight="1">
      <c r="F23" s="24"/>
      <c r="L23" s="2"/>
    </row>
    <row r="24" ht="15.75" customHeight="1">
      <c r="F24" s="24"/>
      <c r="L24" s="2"/>
    </row>
    <row r="25" ht="15.75" customHeight="1">
      <c r="F25" s="24"/>
      <c r="L25" s="2"/>
    </row>
    <row r="26" ht="15.75" customHeight="1">
      <c r="F26" s="24"/>
      <c r="L26" s="2"/>
    </row>
    <row r="27" ht="15.75" customHeight="1">
      <c r="F27" s="24"/>
      <c r="L27" s="2"/>
    </row>
    <row r="28" ht="15.75" customHeight="1">
      <c r="F28" s="24"/>
      <c r="L28" s="2"/>
    </row>
    <row r="29" ht="15.75" customHeight="1">
      <c r="F29" s="24"/>
      <c r="L29" s="2"/>
    </row>
    <row r="30" ht="15.75" customHeight="1">
      <c r="F30" s="24"/>
      <c r="L30" s="2"/>
    </row>
    <row r="31" ht="15.75" customHeight="1">
      <c r="F31" s="24"/>
      <c r="L31" s="2"/>
    </row>
    <row r="32" ht="15.75" customHeight="1">
      <c r="F32" s="24"/>
      <c r="L32" s="2"/>
    </row>
    <row r="33" ht="15.75" customHeight="1">
      <c r="F33" s="24"/>
      <c r="L33" s="2"/>
    </row>
    <row r="34" ht="15.75" customHeight="1">
      <c r="F34" s="24"/>
      <c r="L34" s="2"/>
    </row>
    <row r="35" ht="15.75" customHeight="1">
      <c r="F35" s="24"/>
      <c r="L35" s="2"/>
    </row>
    <row r="36" ht="15.75" customHeight="1">
      <c r="F36" s="24"/>
      <c r="L36" s="2"/>
    </row>
    <row r="37" ht="15.75" customHeight="1">
      <c r="F37" s="24"/>
      <c r="L37" s="2"/>
    </row>
    <row r="38" ht="15.75" customHeight="1">
      <c r="F38" s="24"/>
      <c r="L38" s="2"/>
    </row>
    <row r="39" ht="15.75" customHeight="1">
      <c r="F39" s="24"/>
      <c r="L39" s="2"/>
    </row>
    <row r="40" ht="15.75" customHeight="1">
      <c r="F40" s="24"/>
      <c r="L40" s="2"/>
    </row>
    <row r="41" ht="15.75" customHeight="1">
      <c r="F41" s="24"/>
      <c r="L41" s="2"/>
    </row>
    <row r="42" ht="15.75" customHeight="1">
      <c r="F42" s="24"/>
      <c r="L42" s="2"/>
    </row>
    <row r="43" ht="15.75" customHeight="1">
      <c r="F43" s="24"/>
      <c r="L43" s="2"/>
    </row>
    <row r="44" ht="15.75" customHeight="1">
      <c r="F44" s="24"/>
      <c r="L44" s="2"/>
    </row>
    <row r="45" ht="15.75" customHeight="1">
      <c r="F45" s="24"/>
      <c r="L45" s="2"/>
    </row>
    <row r="46" ht="15.75" customHeight="1">
      <c r="F46" s="24"/>
      <c r="L46" s="2"/>
    </row>
    <row r="47" ht="15.75" customHeight="1">
      <c r="F47" s="24"/>
      <c r="L47" s="2"/>
    </row>
    <row r="48" ht="15.75" customHeight="1">
      <c r="F48" s="24"/>
      <c r="L48" s="2"/>
    </row>
    <row r="49" ht="15.75" customHeight="1">
      <c r="F49" s="24"/>
      <c r="L49" s="2"/>
    </row>
    <row r="50" ht="15.75" customHeight="1">
      <c r="F50" s="24"/>
      <c r="L50" s="2"/>
    </row>
    <row r="51" ht="15.75" customHeight="1">
      <c r="F51" s="24"/>
      <c r="L51" s="2"/>
    </row>
    <row r="52" ht="15.75" customHeight="1">
      <c r="F52" s="24"/>
      <c r="L52" s="2"/>
    </row>
    <row r="53" ht="15.75" customHeight="1">
      <c r="F53" s="24"/>
      <c r="L53" s="2"/>
    </row>
    <row r="54" ht="15.75" customHeight="1">
      <c r="F54" s="24"/>
      <c r="L54" s="2"/>
    </row>
    <row r="55" ht="15.75" customHeight="1">
      <c r="F55" s="24"/>
      <c r="L55" s="2"/>
    </row>
    <row r="56" ht="15.75" customHeight="1">
      <c r="F56" s="24"/>
      <c r="L56" s="2"/>
    </row>
    <row r="57" ht="15.75" customHeight="1">
      <c r="F57" s="24"/>
      <c r="L57" s="2"/>
    </row>
    <row r="58" ht="15.75" customHeight="1">
      <c r="F58" s="24"/>
      <c r="L58" s="2"/>
    </row>
    <row r="59" ht="15.75" customHeight="1">
      <c r="F59" s="24"/>
      <c r="L59" s="2"/>
    </row>
    <row r="60" ht="15.75" customHeight="1">
      <c r="F60" s="24"/>
      <c r="L60" s="2"/>
    </row>
    <row r="61" ht="15.75" customHeight="1">
      <c r="F61" s="24"/>
      <c r="L61" s="2"/>
    </row>
    <row r="62" ht="15.75" customHeight="1">
      <c r="F62" s="24"/>
      <c r="L62" s="2"/>
    </row>
    <row r="63" ht="15.75" customHeight="1">
      <c r="F63" s="24"/>
      <c r="L63" s="2"/>
    </row>
    <row r="64" ht="15.75" customHeight="1">
      <c r="F64" s="24"/>
      <c r="L64" s="2"/>
    </row>
    <row r="65" ht="15.75" customHeight="1">
      <c r="F65" s="24"/>
      <c r="L65" s="2"/>
    </row>
    <row r="66" ht="15.75" customHeight="1">
      <c r="F66" s="24"/>
      <c r="L66" s="2"/>
    </row>
    <row r="67" ht="15.75" customHeight="1">
      <c r="F67" s="24"/>
      <c r="L67" s="2"/>
    </row>
    <row r="68" ht="15.75" customHeight="1">
      <c r="F68" s="24"/>
      <c r="L68" s="2"/>
    </row>
    <row r="69" ht="15.75" customHeight="1">
      <c r="F69" s="24"/>
      <c r="L69" s="2"/>
    </row>
    <row r="70" ht="15.75" customHeight="1">
      <c r="F70" s="24"/>
      <c r="L70" s="2"/>
    </row>
    <row r="71" ht="15.75" customHeight="1">
      <c r="F71" s="24"/>
      <c r="L71" s="2"/>
    </row>
    <row r="72" ht="15.75" customHeight="1">
      <c r="F72" s="24"/>
      <c r="L72" s="2"/>
    </row>
    <row r="73" ht="15.75" customHeight="1">
      <c r="F73" s="24"/>
      <c r="L73" s="2"/>
    </row>
    <row r="74" ht="15.75" customHeight="1">
      <c r="F74" s="24"/>
      <c r="L74" s="2"/>
    </row>
    <row r="75" ht="15.75" customHeight="1">
      <c r="F75" s="24"/>
      <c r="L75" s="2"/>
    </row>
    <row r="76" ht="15.75" customHeight="1">
      <c r="F76" s="24"/>
      <c r="L76" s="2"/>
    </row>
    <row r="77" ht="15.75" customHeight="1">
      <c r="F77" s="24"/>
      <c r="L77" s="2"/>
    </row>
    <row r="78" ht="15.75" customHeight="1">
      <c r="F78" s="24"/>
      <c r="L78" s="2"/>
    </row>
    <row r="79" ht="15.75" customHeight="1">
      <c r="F79" s="24"/>
      <c r="L79" s="2"/>
    </row>
    <row r="80" ht="15.75" customHeight="1">
      <c r="F80" s="24"/>
      <c r="L80" s="2"/>
    </row>
    <row r="81" ht="15.75" customHeight="1">
      <c r="F81" s="24"/>
      <c r="L81" s="2"/>
    </row>
    <row r="82" ht="15.75" customHeight="1">
      <c r="F82" s="24"/>
      <c r="L82" s="2"/>
    </row>
    <row r="83" ht="15.75" customHeight="1">
      <c r="F83" s="24"/>
      <c r="L83" s="2"/>
    </row>
    <row r="84" ht="15.75" customHeight="1">
      <c r="F84" s="24"/>
      <c r="L84" s="2"/>
    </row>
    <row r="85" ht="15.75" customHeight="1">
      <c r="F85" s="24"/>
      <c r="L85" s="2"/>
    </row>
    <row r="86" ht="15.75" customHeight="1">
      <c r="F86" s="24"/>
      <c r="L86" s="2"/>
    </row>
    <row r="87" ht="15.75" customHeight="1">
      <c r="F87" s="24"/>
      <c r="L87" s="2"/>
    </row>
    <row r="88" ht="15.75" customHeight="1">
      <c r="F88" s="24"/>
      <c r="L88" s="2"/>
    </row>
    <row r="89" ht="15.75" customHeight="1">
      <c r="F89" s="24"/>
      <c r="L89" s="2"/>
    </row>
    <row r="90" ht="15.75" customHeight="1">
      <c r="F90" s="24"/>
      <c r="L90" s="2"/>
    </row>
    <row r="91" ht="15.75" customHeight="1">
      <c r="F91" s="24"/>
      <c r="L91" s="2"/>
    </row>
    <row r="92" ht="15.75" customHeight="1">
      <c r="F92" s="24"/>
      <c r="L92" s="2"/>
    </row>
    <row r="93" ht="15.75" customHeight="1">
      <c r="F93" s="24"/>
      <c r="L93" s="2"/>
    </row>
    <row r="94" ht="15.75" customHeight="1">
      <c r="F94" s="24"/>
      <c r="L94" s="2"/>
    </row>
    <row r="95" ht="15.75" customHeight="1">
      <c r="F95" s="24"/>
      <c r="L95" s="2"/>
    </row>
    <row r="96" ht="15.75" customHeight="1">
      <c r="F96" s="24"/>
      <c r="L96" s="2"/>
    </row>
    <row r="97" ht="15.75" customHeight="1">
      <c r="F97" s="24"/>
      <c r="L97" s="2"/>
    </row>
    <row r="98" ht="15.75" customHeight="1">
      <c r="F98" s="24"/>
      <c r="L98" s="2"/>
    </row>
    <row r="99" ht="15.75" customHeight="1">
      <c r="F99" s="24"/>
      <c r="L99" s="2"/>
    </row>
    <row r="100" ht="15.75" customHeight="1">
      <c r="F100" s="24"/>
      <c r="L100" s="2"/>
    </row>
    <row r="101" ht="15.75" customHeight="1">
      <c r="F101" s="24"/>
      <c r="L101" s="2"/>
    </row>
    <row r="102" ht="15.75" customHeight="1">
      <c r="F102" s="24"/>
      <c r="L102" s="2"/>
    </row>
    <row r="103" ht="15.75" customHeight="1">
      <c r="F103" s="24"/>
      <c r="L103" s="2"/>
    </row>
    <row r="104" ht="15.75" customHeight="1">
      <c r="F104" s="24"/>
      <c r="L104" s="2"/>
    </row>
    <row r="105" ht="15.75" customHeight="1">
      <c r="F105" s="24"/>
      <c r="L105" s="2"/>
    </row>
    <row r="106" ht="15.75" customHeight="1">
      <c r="F106" s="24"/>
      <c r="L106" s="2"/>
    </row>
    <row r="107" ht="15.75" customHeight="1">
      <c r="F107" s="24"/>
      <c r="L107" s="2"/>
    </row>
    <row r="108" ht="15.75" customHeight="1">
      <c r="F108" s="24"/>
      <c r="L108" s="2"/>
    </row>
    <row r="109" ht="15.75" customHeight="1">
      <c r="F109" s="24"/>
      <c r="L109" s="2"/>
    </row>
    <row r="110" ht="15.75" customHeight="1">
      <c r="F110" s="24"/>
      <c r="L110" s="2"/>
    </row>
    <row r="111" ht="15.75" customHeight="1">
      <c r="F111" s="24"/>
      <c r="L111" s="2"/>
    </row>
    <row r="112" ht="15.75" customHeight="1">
      <c r="F112" s="24"/>
      <c r="L112" s="2"/>
    </row>
    <row r="113" ht="15.75" customHeight="1">
      <c r="F113" s="24"/>
      <c r="L113" s="2"/>
    </row>
    <row r="114" ht="15.75" customHeight="1">
      <c r="F114" s="24"/>
      <c r="L114" s="2"/>
    </row>
    <row r="115" ht="15.75" customHeight="1">
      <c r="F115" s="24"/>
      <c r="L115" s="2"/>
    </row>
    <row r="116" ht="15.75" customHeight="1">
      <c r="F116" s="24"/>
      <c r="L116" s="2"/>
    </row>
    <row r="117" ht="15.75" customHeight="1">
      <c r="F117" s="24"/>
      <c r="L117" s="2"/>
    </row>
    <row r="118" ht="15.75" customHeight="1">
      <c r="F118" s="24"/>
      <c r="L118" s="2"/>
    </row>
    <row r="119" ht="15.75" customHeight="1">
      <c r="F119" s="24"/>
      <c r="L119" s="2"/>
    </row>
    <row r="120" ht="15.75" customHeight="1">
      <c r="F120" s="24"/>
      <c r="L120" s="2"/>
    </row>
    <row r="121" ht="15.75" customHeight="1">
      <c r="F121" s="24"/>
      <c r="L121" s="2"/>
    </row>
    <row r="122" ht="15.75" customHeight="1">
      <c r="F122" s="24"/>
      <c r="L122" s="2"/>
    </row>
    <row r="123" ht="15.75" customHeight="1">
      <c r="F123" s="24"/>
      <c r="L123" s="2"/>
    </row>
    <row r="124" ht="15.75" customHeight="1">
      <c r="F124" s="24"/>
      <c r="L124" s="2"/>
    </row>
    <row r="125" ht="15.75" customHeight="1">
      <c r="F125" s="24"/>
      <c r="L125" s="2"/>
    </row>
    <row r="126" ht="15.75" customHeight="1">
      <c r="F126" s="24"/>
      <c r="L126" s="2"/>
    </row>
    <row r="127" ht="15.75" customHeight="1">
      <c r="F127" s="24"/>
      <c r="L127" s="2"/>
    </row>
    <row r="128" ht="15.75" customHeight="1">
      <c r="F128" s="24"/>
      <c r="L128" s="2"/>
    </row>
    <row r="129" ht="15.75" customHeight="1">
      <c r="F129" s="24"/>
      <c r="L129" s="2"/>
    </row>
    <row r="130" ht="15.75" customHeight="1">
      <c r="F130" s="24"/>
      <c r="L130" s="2"/>
    </row>
    <row r="131" ht="15.75" customHeight="1">
      <c r="F131" s="24"/>
      <c r="L131" s="2"/>
    </row>
    <row r="132" ht="15.75" customHeight="1">
      <c r="F132" s="24"/>
      <c r="L132" s="2"/>
    </row>
    <row r="133" ht="15.75" customHeight="1">
      <c r="F133" s="24"/>
      <c r="L133" s="2"/>
    </row>
    <row r="134" ht="15.75" customHeight="1">
      <c r="F134" s="24"/>
      <c r="L134" s="2"/>
    </row>
    <row r="135" ht="15.75" customHeight="1">
      <c r="F135" s="24"/>
      <c r="L135" s="2"/>
    </row>
    <row r="136" ht="15.75" customHeight="1">
      <c r="F136" s="24"/>
      <c r="L136" s="2"/>
    </row>
    <row r="137" ht="15.75" customHeight="1">
      <c r="F137" s="24"/>
      <c r="L137" s="2"/>
    </row>
    <row r="138" ht="15.75" customHeight="1">
      <c r="F138" s="24"/>
      <c r="L138" s="2"/>
    </row>
    <row r="139" ht="15.75" customHeight="1">
      <c r="F139" s="24"/>
      <c r="L139" s="2"/>
    </row>
    <row r="140" ht="15.75" customHeight="1">
      <c r="F140" s="24"/>
      <c r="L140" s="2"/>
    </row>
    <row r="141" ht="15.75" customHeight="1">
      <c r="F141" s="24"/>
      <c r="L141" s="2"/>
    </row>
    <row r="142" ht="15.75" customHeight="1">
      <c r="F142" s="24"/>
      <c r="L142" s="2"/>
    </row>
    <row r="143" ht="15.75" customHeight="1">
      <c r="F143" s="24"/>
      <c r="L143" s="2"/>
    </row>
    <row r="144" ht="15.75" customHeight="1">
      <c r="F144" s="24"/>
      <c r="L144" s="2"/>
    </row>
    <row r="145" ht="15.75" customHeight="1">
      <c r="F145" s="24"/>
      <c r="L145" s="2"/>
    </row>
    <row r="146" ht="15.75" customHeight="1">
      <c r="F146" s="24"/>
      <c r="L146" s="2"/>
    </row>
    <row r="147" ht="15.75" customHeight="1">
      <c r="F147" s="24"/>
      <c r="L147" s="2"/>
    </row>
    <row r="148" ht="15.75" customHeight="1">
      <c r="F148" s="24"/>
      <c r="L148" s="2"/>
    </row>
    <row r="149" ht="15.75" customHeight="1">
      <c r="F149" s="24"/>
      <c r="L149" s="2"/>
    </row>
    <row r="150" ht="15.75" customHeight="1">
      <c r="F150" s="24"/>
      <c r="L150" s="2"/>
    </row>
    <row r="151" ht="15.75" customHeight="1">
      <c r="F151" s="24"/>
      <c r="L151" s="2"/>
    </row>
    <row r="152" ht="15.75" customHeight="1">
      <c r="F152" s="24"/>
      <c r="L152" s="2"/>
    </row>
    <row r="153" ht="15.75" customHeight="1">
      <c r="F153" s="24"/>
      <c r="L153" s="2"/>
    </row>
    <row r="154" ht="15.75" customHeight="1">
      <c r="F154" s="24"/>
      <c r="L154" s="2"/>
    </row>
    <row r="155" ht="15.75" customHeight="1">
      <c r="F155" s="24"/>
      <c r="L155" s="2"/>
    </row>
    <row r="156" ht="15.75" customHeight="1">
      <c r="F156" s="24"/>
      <c r="L156" s="2"/>
    </row>
    <row r="157" ht="15.75" customHeight="1">
      <c r="F157" s="24"/>
      <c r="L157" s="2"/>
    </row>
    <row r="158" ht="15.75" customHeight="1">
      <c r="F158" s="24"/>
      <c r="L158" s="2"/>
    </row>
    <row r="159" ht="15.75" customHeight="1">
      <c r="F159" s="24"/>
      <c r="L159" s="2"/>
    </row>
    <row r="160" ht="15.75" customHeight="1">
      <c r="F160" s="24"/>
      <c r="L160" s="2"/>
    </row>
    <row r="161" ht="15.75" customHeight="1">
      <c r="F161" s="24"/>
      <c r="L161" s="2"/>
    </row>
    <row r="162" ht="15.75" customHeight="1">
      <c r="F162" s="24"/>
      <c r="L162" s="2"/>
    </row>
    <row r="163" ht="15.75" customHeight="1">
      <c r="F163" s="24"/>
      <c r="L163" s="2"/>
    </row>
    <row r="164" ht="15.75" customHeight="1">
      <c r="F164" s="24"/>
      <c r="L164" s="2"/>
    </row>
    <row r="165" ht="15.75" customHeight="1">
      <c r="F165" s="24"/>
      <c r="L165" s="2"/>
    </row>
    <row r="166" ht="15.75" customHeight="1">
      <c r="F166" s="24"/>
      <c r="L166" s="2"/>
    </row>
    <row r="167" ht="15.75" customHeight="1">
      <c r="F167" s="24"/>
      <c r="L167" s="2"/>
    </row>
    <row r="168" ht="15.75" customHeight="1">
      <c r="F168" s="24"/>
      <c r="L168" s="2"/>
    </row>
    <row r="169" ht="15.75" customHeight="1">
      <c r="F169" s="24"/>
      <c r="L169" s="2"/>
    </row>
    <row r="170" ht="15.75" customHeight="1">
      <c r="F170" s="24"/>
      <c r="L170" s="2"/>
    </row>
    <row r="171" ht="15.75" customHeight="1">
      <c r="F171" s="24"/>
      <c r="L171" s="2"/>
    </row>
    <row r="172" ht="15.75" customHeight="1">
      <c r="F172" s="24"/>
      <c r="L172" s="2"/>
    </row>
    <row r="173" ht="15.75" customHeight="1">
      <c r="F173" s="24"/>
      <c r="L173" s="2"/>
    </row>
    <row r="174" ht="15.75" customHeight="1">
      <c r="F174" s="24"/>
      <c r="L174" s="2"/>
    </row>
    <row r="175" ht="15.75" customHeight="1">
      <c r="F175" s="24"/>
      <c r="L175" s="2"/>
    </row>
    <row r="176" ht="15.75" customHeight="1">
      <c r="F176" s="24"/>
      <c r="L176" s="2"/>
    </row>
    <row r="177" ht="15.75" customHeight="1">
      <c r="F177" s="24"/>
      <c r="L177" s="2"/>
    </row>
    <row r="178" ht="15.75" customHeight="1">
      <c r="F178" s="24"/>
      <c r="L178" s="2"/>
    </row>
    <row r="179" ht="15.75" customHeight="1">
      <c r="F179" s="24"/>
      <c r="L179" s="2"/>
    </row>
    <row r="180" ht="15.75" customHeight="1">
      <c r="F180" s="24"/>
      <c r="L180" s="2"/>
    </row>
    <row r="181" ht="15.75" customHeight="1">
      <c r="F181" s="24"/>
      <c r="L181" s="2"/>
    </row>
    <row r="182" ht="15.75" customHeight="1">
      <c r="F182" s="24"/>
      <c r="L182" s="2"/>
    </row>
    <row r="183" ht="15.75" customHeight="1">
      <c r="F183" s="24"/>
      <c r="L183" s="2"/>
    </row>
    <row r="184" ht="15.75" customHeight="1">
      <c r="F184" s="24"/>
      <c r="L184" s="2"/>
    </row>
    <row r="185" ht="15.75" customHeight="1">
      <c r="F185" s="24"/>
      <c r="L185" s="2"/>
    </row>
    <row r="186" ht="15.75" customHeight="1">
      <c r="F186" s="24"/>
      <c r="L186" s="2"/>
    </row>
    <row r="187" ht="15.75" customHeight="1">
      <c r="F187" s="24"/>
      <c r="L187" s="2"/>
    </row>
    <row r="188" ht="15.75" customHeight="1">
      <c r="F188" s="24"/>
      <c r="L188" s="2"/>
    </row>
    <row r="189" ht="15.75" customHeight="1">
      <c r="F189" s="24"/>
      <c r="L189" s="2"/>
    </row>
    <row r="190" ht="15.75" customHeight="1">
      <c r="F190" s="24"/>
      <c r="L190" s="2"/>
    </row>
    <row r="191" ht="15.75" customHeight="1">
      <c r="F191" s="24"/>
      <c r="L191" s="2"/>
    </row>
    <row r="192" ht="15.75" customHeight="1">
      <c r="F192" s="24"/>
      <c r="L192" s="2"/>
    </row>
    <row r="193" ht="15.75" customHeight="1">
      <c r="F193" s="24"/>
      <c r="L193" s="2"/>
    </row>
    <row r="194" ht="15.75" customHeight="1">
      <c r="F194" s="24"/>
      <c r="L194" s="2"/>
    </row>
    <row r="195" ht="15.75" customHeight="1">
      <c r="F195" s="24"/>
      <c r="L195" s="2"/>
    </row>
    <row r="196" ht="15.75" customHeight="1">
      <c r="F196" s="24"/>
      <c r="L196" s="2"/>
    </row>
    <row r="197" ht="15.75" customHeight="1">
      <c r="F197" s="24"/>
      <c r="L197" s="2"/>
    </row>
    <row r="198" ht="15.75" customHeight="1">
      <c r="F198" s="24"/>
      <c r="L198" s="2"/>
    </row>
    <row r="199" ht="15.75" customHeight="1">
      <c r="F199" s="24"/>
      <c r="L199" s="2"/>
    </row>
    <row r="200" ht="15.75" customHeight="1">
      <c r="F200" s="24"/>
      <c r="L200" s="2"/>
    </row>
    <row r="201" ht="15.75" customHeight="1">
      <c r="F201" s="24"/>
      <c r="L201" s="2"/>
    </row>
    <row r="202" ht="15.75" customHeight="1">
      <c r="F202" s="24"/>
      <c r="L202" s="2"/>
    </row>
    <row r="203" ht="15.75" customHeight="1">
      <c r="F203" s="24"/>
      <c r="L203" s="2"/>
    </row>
    <row r="204" ht="15.75" customHeight="1">
      <c r="F204" s="24"/>
      <c r="L204" s="2"/>
    </row>
    <row r="205" ht="15.75" customHeight="1">
      <c r="F205" s="24"/>
      <c r="L205" s="2"/>
    </row>
    <row r="206" ht="15.75" customHeight="1">
      <c r="F206" s="24"/>
      <c r="L206" s="2"/>
    </row>
    <row r="207" ht="15.75" customHeight="1">
      <c r="F207" s="24"/>
      <c r="L207" s="2"/>
    </row>
    <row r="208" ht="15.75" customHeight="1">
      <c r="F208" s="24"/>
      <c r="L208" s="2"/>
    </row>
    <row r="209" ht="15.75" customHeight="1">
      <c r="F209" s="24"/>
      <c r="L209" s="2"/>
    </row>
    <row r="210" ht="15.75" customHeight="1">
      <c r="F210" s="24"/>
      <c r="L210" s="2"/>
    </row>
    <row r="211" ht="15.75" customHeight="1">
      <c r="F211" s="24"/>
      <c r="L211" s="2"/>
    </row>
    <row r="212" ht="15.75" customHeight="1">
      <c r="F212" s="24"/>
      <c r="L212" s="2"/>
    </row>
    <row r="213" ht="15.75" customHeight="1">
      <c r="F213" s="24"/>
      <c r="L213" s="2"/>
    </row>
    <row r="214" ht="15.75" customHeight="1">
      <c r="F214" s="24"/>
      <c r="L214" s="2"/>
    </row>
    <row r="215" ht="15.75" customHeight="1">
      <c r="F215" s="24"/>
      <c r="L215" s="2"/>
    </row>
    <row r="216" ht="15.75" customHeight="1">
      <c r="F216" s="24"/>
      <c r="L216" s="2"/>
    </row>
    <row r="217" ht="15.75" customHeight="1">
      <c r="F217" s="24"/>
      <c r="L217" s="2"/>
    </row>
    <row r="218" ht="15.75" customHeight="1">
      <c r="F218" s="24"/>
      <c r="L218" s="2"/>
    </row>
    <row r="219" ht="15.75" customHeight="1">
      <c r="F219" s="24"/>
      <c r="L219" s="2"/>
    </row>
    <row r="220" ht="15.75" customHeight="1">
      <c r="F220" s="24"/>
      <c r="L220" s="2"/>
    </row>
    <row r="221" ht="15.75" customHeight="1">
      <c r="L221" s="53"/>
    </row>
    <row r="222" ht="15.75" customHeight="1">
      <c r="L222" s="53"/>
    </row>
    <row r="223" ht="15.75" customHeight="1">
      <c r="L223" s="53"/>
    </row>
    <row r="224" ht="15.75" customHeight="1">
      <c r="L224" s="53"/>
    </row>
    <row r="225" ht="15.75" customHeight="1">
      <c r="L225" s="53"/>
    </row>
    <row r="226" ht="15.75" customHeight="1">
      <c r="L226" s="53"/>
    </row>
    <row r="227" ht="15.75" customHeight="1">
      <c r="L227" s="53"/>
    </row>
    <row r="228" ht="15.75" customHeight="1">
      <c r="L228" s="53"/>
    </row>
    <row r="229" ht="15.75" customHeight="1">
      <c r="L229" s="53"/>
    </row>
    <row r="230" ht="15.75" customHeight="1">
      <c r="L230" s="53"/>
    </row>
    <row r="231" ht="15.75" customHeight="1">
      <c r="L231" s="53"/>
    </row>
    <row r="232" ht="15.75" customHeight="1">
      <c r="L232" s="53"/>
    </row>
    <row r="233" ht="15.75" customHeight="1">
      <c r="L233" s="53"/>
    </row>
    <row r="234" ht="15.75" customHeight="1">
      <c r="L234" s="53"/>
    </row>
    <row r="235" ht="15.75" customHeight="1">
      <c r="L235" s="53"/>
    </row>
    <row r="236" ht="15.75" customHeight="1">
      <c r="L236" s="53"/>
    </row>
    <row r="237" ht="15.75" customHeight="1">
      <c r="L237" s="53"/>
    </row>
    <row r="238" ht="15.75" customHeight="1">
      <c r="L238" s="53"/>
    </row>
    <row r="239" ht="15.75" customHeight="1">
      <c r="L239" s="53"/>
    </row>
    <row r="240" ht="15.75" customHeight="1">
      <c r="L240" s="53"/>
    </row>
    <row r="241" ht="15.75" customHeight="1">
      <c r="L241" s="53"/>
    </row>
    <row r="242" ht="15.75" customHeight="1">
      <c r="L242" s="53"/>
    </row>
    <row r="243" ht="15.75" customHeight="1">
      <c r="L243" s="53"/>
    </row>
    <row r="244" ht="15.75" customHeight="1">
      <c r="L244" s="53"/>
    </row>
    <row r="245" ht="15.75" customHeight="1">
      <c r="L245" s="53"/>
    </row>
    <row r="246" ht="15.75" customHeight="1">
      <c r="L246" s="53"/>
    </row>
    <row r="247" ht="15.75" customHeight="1">
      <c r="L247" s="53"/>
    </row>
    <row r="248" ht="15.75" customHeight="1">
      <c r="L248" s="53"/>
    </row>
    <row r="249" ht="15.75" customHeight="1">
      <c r="L249" s="53"/>
    </row>
    <row r="250" ht="15.75" customHeight="1">
      <c r="L250" s="5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N$8"/>
  <mergeCells count="2">
    <mergeCell ref="A1:N1"/>
    <mergeCell ref="A2:N2"/>
  </mergeCells>
  <conditionalFormatting sqref="K4:K1000">
    <cfRule type="cellIs" dxfId="0" priority="1" stopIfTrue="1" operator="equal">
      <formula>"Reorder"</formula>
    </cfRule>
  </conditionalFormatting>
  <conditionalFormatting sqref="L4:L1000">
    <cfRule type="cellIs" dxfId="1" priority="2" stopIfTrue="1" operator="equal">
      <formula>"Yes"</formula>
    </cfRule>
  </conditionalFormatting>
  <dataValidations>
    <dataValidation type="list" allowBlank="1" showErrorMessage="1" sqref="L4:L250">
      <formula1>Lists!$E$4:$E$5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38"/>
    <col customWidth="1" min="2" max="2" width="15.13"/>
    <col customWidth="1" min="3" max="3" width="42.63"/>
    <col customWidth="1" min="4" max="4" width="16.38"/>
    <col customWidth="1" min="5" max="5" width="11.38"/>
    <col customWidth="1" min="6" max="6" width="15.13"/>
    <col customWidth="1" min="7" max="7" width="11.38"/>
    <col customWidth="1" min="8" max="9" width="13.88"/>
    <col customWidth="1" min="10" max="10" width="30.13"/>
  </cols>
  <sheetData>
    <row r="1" ht="15.75" customHeight="1">
      <c r="A1" s="1" t="s">
        <v>139</v>
      </c>
    </row>
    <row r="2" ht="15.75" customHeight="1">
      <c r="A2" s="3" t="s">
        <v>140</v>
      </c>
    </row>
    <row r="3" ht="15.75" customHeight="1">
      <c r="A3" s="4" t="s">
        <v>141</v>
      </c>
      <c r="B3" s="4" t="s">
        <v>142</v>
      </c>
      <c r="C3" s="4" t="s">
        <v>143</v>
      </c>
      <c r="D3" s="4" t="s">
        <v>144</v>
      </c>
      <c r="E3" s="4" t="s">
        <v>145</v>
      </c>
      <c r="F3" s="4" t="s">
        <v>146</v>
      </c>
      <c r="G3" s="4" t="s">
        <v>147</v>
      </c>
      <c r="H3" s="4" t="s">
        <v>33</v>
      </c>
      <c r="I3" s="4" t="s">
        <v>148</v>
      </c>
      <c r="J3" s="4" t="s">
        <v>23</v>
      </c>
    </row>
    <row r="4" ht="15.75" customHeight="1">
      <c r="A4" s="9" t="s">
        <v>149</v>
      </c>
      <c r="B4" s="9" t="s">
        <v>150</v>
      </c>
      <c r="C4" s="9" t="s">
        <v>151</v>
      </c>
      <c r="D4" s="9" t="s">
        <v>152</v>
      </c>
      <c r="E4" s="9" t="s">
        <v>153</v>
      </c>
      <c r="F4" s="9" t="s">
        <v>154</v>
      </c>
      <c r="G4" s="9">
        <v>20.0</v>
      </c>
      <c r="H4" s="9" t="s">
        <v>155</v>
      </c>
      <c r="I4" s="14">
        <v>46219.0</v>
      </c>
      <c r="J4" s="9" t="s">
        <v>156</v>
      </c>
    </row>
    <row r="5" ht="15.75" customHeight="1">
      <c r="A5" s="11" t="s">
        <v>157</v>
      </c>
      <c r="B5" s="11" t="s">
        <v>158</v>
      </c>
      <c r="C5" s="11" t="s">
        <v>159</v>
      </c>
      <c r="D5" s="11" t="s">
        <v>160</v>
      </c>
      <c r="E5" s="11" t="s">
        <v>153</v>
      </c>
      <c r="F5" s="11" t="s">
        <v>154</v>
      </c>
      <c r="G5" s="11">
        <v>15.0</v>
      </c>
      <c r="H5" s="17" t="s">
        <v>155</v>
      </c>
      <c r="I5" s="21">
        <v>46218.0</v>
      </c>
      <c r="J5" s="11" t="s">
        <v>161</v>
      </c>
    </row>
    <row r="6" ht="15.75" customHeight="1">
      <c r="A6" s="9" t="s">
        <v>163</v>
      </c>
      <c r="B6" s="9" t="s">
        <v>164</v>
      </c>
      <c r="C6" s="9" t="s">
        <v>165</v>
      </c>
      <c r="D6" s="9" t="s">
        <v>166</v>
      </c>
      <c r="E6" s="9" t="s">
        <v>153</v>
      </c>
      <c r="F6" s="9" t="s">
        <v>154</v>
      </c>
      <c r="G6" s="9">
        <v>25.0</v>
      </c>
      <c r="H6" s="8" t="s">
        <v>155</v>
      </c>
      <c r="I6" s="14">
        <v>46218.0</v>
      </c>
      <c r="J6" s="9" t="s">
        <v>167</v>
      </c>
    </row>
    <row r="7" ht="15.75" customHeight="1">
      <c r="A7" s="11" t="s">
        <v>168</v>
      </c>
      <c r="B7" s="11" t="s">
        <v>169</v>
      </c>
      <c r="C7" s="11" t="s">
        <v>170</v>
      </c>
      <c r="D7" s="11" t="s">
        <v>166</v>
      </c>
      <c r="E7" s="11" t="s">
        <v>153</v>
      </c>
      <c r="F7" s="11" t="s">
        <v>154</v>
      </c>
      <c r="G7" s="11">
        <v>15.0</v>
      </c>
      <c r="H7" s="11" t="s">
        <v>155</v>
      </c>
      <c r="I7" s="21">
        <v>46219.0</v>
      </c>
      <c r="J7" s="11" t="s">
        <v>171</v>
      </c>
    </row>
    <row r="8" ht="15.75" customHeight="1">
      <c r="H8" s="2"/>
    </row>
    <row r="9" ht="15.75" customHeight="1">
      <c r="H9" s="2"/>
    </row>
    <row r="10" ht="15.75" customHeight="1">
      <c r="H10" s="2"/>
    </row>
    <row r="11" ht="15.75" customHeight="1">
      <c r="H11" s="2"/>
    </row>
    <row r="12" ht="15.75" customHeight="1">
      <c r="H12" s="2"/>
    </row>
    <row r="13" ht="15.75" customHeight="1">
      <c r="H13" s="2"/>
    </row>
    <row r="14" ht="15.75" customHeight="1">
      <c r="H14" s="2"/>
    </row>
    <row r="15" ht="15.75" customHeight="1">
      <c r="H15" s="2"/>
    </row>
    <row r="16" ht="15.75" customHeight="1">
      <c r="H16" s="2"/>
    </row>
    <row r="17" ht="15.75" customHeight="1">
      <c r="H17" s="2"/>
    </row>
    <row r="18" ht="15.75" customHeight="1">
      <c r="H18" s="2"/>
    </row>
    <row r="19" ht="15.75" customHeight="1">
      <c r="H19" s="2"/>
    </row>
    <row r="20" ht="15.75" customHeight="1">
      <c r="H20" s="2"/>
    </row>
    <row r="21" ht="15.75" customHeight="1">
      <c r="H21" s="2"/>
    </row>
    <row r="22" ht="15.75" customHeight="1">
      <c r="H22" s="2"/>
    </row>
    <row r="23" ht="15.75" customHeight="1">
      <c r="H23" s="2"/>
    </row>
    <row r="24" ht="15.75" customHeight="1">
      <c r="H24" s="2"/>
    </row>
    <row r="25" ht="15.75" customHeight="1">
      <c r="H25" s="2"/>
    </row>
    <row r="26" ht="15.75" customHeight="1">
      <c r="H26" s="2"/>
    </row>
    <row r="27" ht="15.75" customHeight="1">
      <c r="H27" s="2"/>
    </row>
    <row r="28" ht="15.75" customHeight="1">
      <c r="H28" s="2"/>
    </row>
    <row r="29" ht="15.75" customHeight="1">
      <c r="H29" s="2"/>
    </row>
    <row r="30" ht="15.75" customHeight="1">
      <c r="H30" s="2"/>
    </row>
    <row r="31" ht="15.75" customHeight="1">
      <c r="H31" s="2"/>
    </row>
    <row r="32" ht="15.75" customHeight="1">
      <c r="H32" s="2"/>
    </row>
    <row r="33" ht="15.75" customHeight="1">
      <c r="H33" s="2"/>
    </row>
    <row r="34" ht="15.75" customHeight="1">
      <c r="H34" s="2"/>
    </row>
    <row r="35" ht="15.75" customHeight="1">
      <c r="H35" s="2"/>
    </row>
    <row r="36" ht="15.75" customHeight="1">
      <c r="H36" s="2"/>
    </row>
    <row r="37" ht="15.75" customHeight="1">
      <c r="H37" s="2"/>
    </row>
    <row r="38" ht="15.75" customHeight="1">
      <c r="H38" s="2"/>
    </row>
    <row r="39" ht="15.75" customHeight="1">
      <c r="H39" s="2"/>
    </row>
    <row r="40" ht="15.75" customHeight="1">
      <c r="H40" s="2"/>
    </row>
    <row r="41" ht="15.75" customHeight="1">
      <c r="H41" s="2"/>
    </row>
    <row r="42" ht="15.75" customHeight="1">
      <c r="H42" s="2"/>
    </row>
    <row r="43" ht="15.75" customHeight="1">
      <c r="H43" s="2"/>
    </row>
    <row r="44" ht="15.75" customHeight="1">
      <c r="H44" s="2"/>
    </row>
    <row r="45" ht="15.75" customHeight="1">
      <c r="H45" s="2"/>
    </row>
    <row r="46" ht="15.75" customHeight="1">
      <c r="H46" s="2"/>
    </row>
    <row r="47" ht="15.75" customHeight="1">
      <c r="H47" s="2"/>
    </row>
    <row r="48" ht="15.75" customHeight="1">
      <c r="H48" s="2"/>
    </row>
    <row r="49" ht="15.75" customHeight="1">
      <c r="H49" s="2"/>
    </row>
    <row r="50" ht="15.75" customHeight="1">
      <c r="H50" s="2"/>
    </row>
    <row r="51" ht="15.75" customHeight="1">
      <c r="H51" s="2"/>
    </row>
    <row r="52" ht="15.75" customHeight="1">
      <c r="H52" s="2"/>
    </row>
    <row r="53" ht="15.75" customHeight="1">
      <c r="H53" s="2"/>
    </row>
    <row r="54" ht="15.75" customHeight="1">
      <c r="H54" s="2"/>
    </row>
    <row r="55" ht="15.75" customHeight="1">
      <c r="H55" s="2"/>
    </row>
    <row r="56" ht="15.75" customHeight="1">
      <c r="H56" s="2"/>
    </row>
    <row r="57" ht="15.75" customHeight="1">
      <c r="H57" s="2"/>
    </row>
    <row r="58" ht="15.75" customHeight="1">
      <c r="H58" s="2"/>
    </row>
    <row r="59" ht="15.75" customHeight="1">
      <c r="H59" s="2"/>
    </row>
    <row r="60" ht="15.75" customHeight="1">
      <c r="H60" s="2"/>
    </row>
    <row r="61" ht="15.75" customHeight="1">
      <c r="H61" s="2"/>
    </row>
    <row r="62" ht="15.75" customHeight="1">
      <c r="H62" s="2"/>
    </row>
    <row r="63" ht="15.75" customHeight="1">
      <c r="H63" s="2"/>
    </row>
    <row r="64" ht="15.75" customHeight="1">
      <c r="H64" s="2"/>
    </row>
    <row r="65" ht="15.75" customHeight="1">
      <c r="H65" s="2"/>
    </row>
    <row r="66" ht="15.75" customHeight="1">
      <c r="H66" s="2"/>
    </row>
    <row r="67" ht="15.75" customHeight="1">
      <c r="H67" s="2"/>
    </row>
    <row r="68" ht="15.75" customHeight="1">
      <c r="H68" s="2"/>
    </row>
    <row r="69" ht="15.75" customHeight="1">
      <c r="H69" s="2"/>
    </row>
    <row r="70" ht="15.75" customHeight="1">
      <c r="H70" s="2"/>
    </row>
    <row r="71" ht="15.75" customHeight="1">
      <c r="H71" s="2"/>
    </row>
    <row r="72" ht="15.75" customHeight="1">
      <c r="H72" s="2"/>
    </row>
    <row r="73" ht="15.75" customHeight="1">
      <c r="H73" s="2"/>
    </row>
    <row r="74" ht="15.75" customHeight="1">
      <c r="H74" s="2"/>
    </row>
    <row r="75" ht="15.75" customHeight="1">
      <c r="H75" s="2"/>
    </row>
    <row r="76" ht="15.75" customHeight="1">
      <c r="H76" s="2"/>
    </row>
    <row r="77" ht="15.75" customHeight="1">
      <c r="H77" s="2"/>
    </row>
    <row r="78" ht="15.75" customHeight="1">
      <c r="H78" s="2"/>
    </row>
    <row r="79" ht="15.75" customHeight="1">
      <c r="H79" s="2"/>
    </row>
    <row r="80" ht="15.75" customHeight="1">
      <c r="H80" s="2"/>
    </row>
    <row r="81" ht="15.75" customHeight="1">
      <c r="H81" s="2"/>
    </row>
    <row r="82" ht="15.75" customHeight="1">
      <c r="H82" s="2"/>
    </row>
    <row r="83" ht="15.75" customHeight="1">
      <c r="H83" s="2"/>
    </row>
    <row r="84" ht="15.75" customHeight="1">
      <c r="H84" s="2"/>
    </row>
    <row r="85" ht="15.75" customHeight="1">
      <c r="H85" s="2"/>
    </row>
    <row r="86" ht="15.75" customHeight="1">
      <c r="H86" s="2"/>
    </row>
    <row r="87" ht="15.75" customHeight="1">
      <c r="H87" s="2"/>
    </row>
    <row r="88" ht="15.75" customHeight="1">
      <c r="H88" s="2"/>
    </row>
    <row r="89" ht="15.75" customHeight="1">
      <c r="H89" s="2"/>
    </row>
    <row r="90" ht="15.75" customHeight="1">
      <c r="H90" s="2"/>
    </row>
    <row r="91" ht="15.75" customHeight="1">
      <c r="H91" s="2"/>
    </row>
    <row r="92" ht="15.75" customHeight="1">
      <c r="H92" s="2"/>
    </row>
    <row r="93" ht="15.75" customHeight="1">
      <c r="H93" s="2"/>
    </row>
    <row r="94" ht="15.75" customHeight="1">
      <c r="H94" s="2"/>
    </row>
    <row r="95" ht="15.75" customHeight="1">
      <c r="H95" s="2"/>
    </row>
    <row r="96" ht="15.75" customHeight="1">
      <c r="H96" s="2"/>
    </row>
    <row r="97" ht="15.75" customHeight="1">
      <c r="H97" s="2"/>
    </row>
    <row r="98" ht="15.75" customHeight="1">
      <c r="H98" s="2"/>
    </row>
    <row r="99" ht="15.75" customHeight="1">
      <c r="H99" s="2"/>
    </row>
    <row r="100" ht="15.75" customHeight="1">
      <c r="H100" s="2"/>
    </row>
    <row r="101" ht="15.75" customHeight="1">
      <c r="H101" s="2"/>
    </row>
    <row r="102" ht="15.75" customHeight="1">
      <c r="H102" s="2"/>
    </row>
    <row r="103" ht="15.75" customHeight="1">
      <c r="H103" s="2"/>
    </row>
    <row r="104" ht="15.75" customHeight="1">
      <c r="H104" s="2"/>
    </row>
    <row r="105" ht="15.75" customHeight="1">
      <c r="H105" s="2"/>
    </row>
    <row r="106" ht="15.75" customHeight="1">
      <c r="H106" s="2"/>
    </row>
    <row r="107" ht="15.75" customHeight="1">
      <c r="H107" s="2"/>
    </row>
    <row r="108" ht="15.75" customHeight="1">
      <c r="H108" s="2"/>
    </row>
    <row r="109" ht="15.75" customHeight="1">
      <c r="H109" s="2"/>
    </row>
    <row r="110" ht="15.75" customHeight="1">
      <c r="H110" s="2"/>
    </row>
    <row r="111" ht="15.75" customHeight="1">
      <c r="H111" s="2"/>
    </row>
    <row r="112" ht="15.75" customHeight="1">
      <c r="H112" s="2"/>
    </row>
    <row r="113" ht="15.75" customHeight="1">
      <c r="H113" s="2"/>
    </row>
    <row r="114" ht="15.75" customHeight="1">
      <c r="H114" s="2"/>
    </row>
    <row r="115" ht="15.75" customHeight="1">
      <c r="H115" s="2"/>
    </row>
    <row r="116" ht="15.75" customHeight="1">
      <c r="H116" s="2"/>
    </row>
    <row r="117" ht="15.75" customHeight="1">
      <c r="H117" s="2"/>
    </row>
    <row r="118" ht="15.75" customHeight="1">
      <c r="H118" s="2"/>
    </row>
    <row r="119" ht="15.75" customHeight="1">
      <c r="H119" s="2"/>
    </row>
    <row r="120" ht="15.75" customHeight="1">
      <c r="H120" s="2"/>
    </row>
    <row r="121" ht="15.75" customHeight="1">
      <c r="H121" s="2"/>
    </row>
    <row r="122" ht="15.75" customHeight="1">
      <c r="H122" s="2"/>
    </row>
    <row r="123" ht="15.75" customHeight="1">
      <c r="H123" s="2"/>
    </row>
    <row r="124" ht="15.75" customHeight="1">
      <c r="H124" s="2"/>
    </row>
    <row r="125" ht="15.75" customHeight="1">
      <c r="H125" s="2"/>
    </row>
    <row r="126" ht="15.75" customHeight="1">
      <c r="H126" s="2"/>
    </row>
    <row r="127" ht="15.75" customHeight="1">
      <c r="H127" s="2"/>
    </row>
    <row r="128" ht="15.75" customHeight="1">
      <c r="H128" s="2"/>
    </row>
    <row r="129" ht="15.75" customHeight="1">
      <c r="H129" s="2"/>
    </row>
    <row r="130" ht="15.75" customHeight="1">
      <c r="H130" s="2"/>
    </row>
    <row r="131" ht="15.75" customHeight="1">
      <c r="H131" s="2"/>
    </row>
    <row r="132" ht="15.75" customHeight="1">
      <c r="H132" s="2"/>
    </row>
    <row r="133" ht="15.75" customHeight="1">
      <c r="H133" s="2"/>
    </row>
    <row r="134" ht="15.75" customHeight="1">
      <c r="H134" s="2"/>
    </row>
    <row r="135" ht="15.75" customHeight="1">
      <c r="H135" s="2"/>
    </row>
    <row r="136" ht="15.75" customHeight="1">
      <c r="H136" s="2"/>
    </row>
    <row r="137" ht="15.75" customHeight="1">
      <c r="H137" s="2"/>
    </row>
    <row r="138" ht="15.75" customHeight="1">
      <c r="H138" s="2"/>
    </row>
    <row r="139" ht="15.75" customHeight="1">
      <c r="H139" s="2"/>
    </row>
    <row r="140" ht="15.75" customHeight="1">
      <c r="H140" s="2"/>
    </row>
    <row r="141" ht="15.75" customHeight="1">
      <c r="H141" s="2"/>
    </row>
    <row r="142" ht="15.75" customHeight="1">
      <c r="H142" s="2"/>
    </row>
    <row r="143" ht="15.75" customHeight="1">
      <c r="H143" s="2"/>
    </row>
    <row r="144" ht="15.75" customHeight="1">
      <c r="H144" s="2"/>
    </row>
    <row r="145" ht="15.75" customHeight="1">
      <c r="H145" s="2"/>
    </row>
    <row r="146" ht="15.75" customHeight="1">
      <c r="H146" s="2"/>
    </row>
    <row r="147" ht="15.75" customHeight="1">
      <c r="H147" s="2"/>
    </row>
    <row r="148" ht="15.75" customHeight="1">
      <c r="H148" s="2"/>
    </row>
    <row r="149" ht="15.75" customHeight="1">
      <c r="H149" s="2"/>
    </row>
    <row r="150" ht="15.75" customHeight="1">
      <c r="H150" s="2"/>
    </row>
    <row r="151" ht="15.75" customHeight="1">
      <c r="H151" s="2"/>
    </row>
    <row r="152" ht="15.75" customHeight="1">
      <c r="H152" s="2"/>
    </row>
    <row r="153" ht="15.75" customHeight="1">
      <c r="H153" s="2"/>
    </row>
    <row r="154" ht="15.75" customHeight="1">
      <c r="H154" s="2"/>
    </row>
    <row r="155" ht="15.75" customHeight="1">
      <c r="H155" s="2"/>
    </row>
    <row r="156" ht="15.75" customHeight="1">
      <c r="H156" s="2"/>
    </row>
    <row r="157" ht="15.75" customHeight="1">
      <c r="H157" s="2"/>
    </row>
    <row r="158" ht="15.75" customHeight="1">
      <c r="H158" s="2"/>
    </row>
    <row r="159" ht="15.75" customHeight="1">
      <c r="H159" s="2"/>
    </row>
    <row r="160" ht="15.75" customHeight="1">
      <c r="H160" s="2"/>
    </row>
    <row r="161" ht="15.75" customHeight="1">
      <c r="H161" s="2"/>
    </row>
    <row r="162" ht="15.75" customHeight="1">
      <c r="H162" s="2"/>
    </row>
    <row r="163" ht="15.75" customHeight="1">
      <c r="H163" s="2"/>
    </row>
    <row r="164" ht="15.75" customHeight="1">
      <c r="H164" s="2"/>
    </row>
    <row r="165" ht="15.75" customHeight="1">
      <c r="H165" s="2"/>
    </row>
    <row r="166" ht="15.75" customHeight="1">
      <c r="H166" s="2"/>
    </row>
    <row r="167" ht="15.75" customHeight="1">
      <c r="H167" s="2"/>
    </row>
    <row r="168" ht="15.75" customHeight="1">
      <c r="H168" s="2"/>
    </row>
    <row r="169" ht="15.75" customHeight="1">
      <c r="H169" s="2"/>
    </row>
    <row r="170" ht="15.75" customHeight="1">
      <c r="H170" s="2"/>
    </row>
    <row r="171" ht="15.75" customHeight="1">
      <c r="H171" s="2"/>
    </row>
    <row r="172" ht="15.75" customHeight="1">
      <c r="H172" s="2"/>
    </row>
    <row r="173" ht="15.75" customHeight="1">
      <c r="H173" s="2"/>
    </row>
    <row r="174" ht="15.75" customHeight="1">
      <c r="H174" s="2"/>
    </row>
    <row r="175" ht="15.75" customHeight="1">
      <c r="H175" s="2"/>
    </row>
    <row r="176" ht="15.75" customHeight="1">
      <c r="H176" s="2"/>
    </row>
    <row r="177" ht="15.75" customHeight="1">
      <c r="H177" s="2"/>
    </row>
    <row r="178" ht="15.75" customHeight="1">
      <c r="H178" s="2"/>
    </row>
    <row r="179" ht="15.75" customHeight="1">
      <c r="H179" s="2"/>
    </row>
    <row r="180" ht="15.75" customHeight="1">
      <c r="H180" s="2"/>
    </row>
    <row r="181" ht="15.75" customHeight="1">
      <c r="H181" s="2"/>
    </row>
    <row r="182" ht="15.75" customHeight="1">
      <c r="H182" s="2"/>
    </row>
    <row r="183" ht="15.75" customHeight="1">
      <c r="H183" s="2"/>
    </row>
    <row r="184" ht="15.75" customHeight="1">
      <c r="H184" s="2"/>
    </row>
    <row r="185" ht="15.75" customHeight="1">
      <c r="H185" s="2"/>
    </row>
    <row r="186" ht="15.75" customHeight="1">
      <c r="H186" s="2"/>
    </row>
    <row r="187" ht="15.75" customHeight="1">
      <c r="H187" s="2"/>
    </row>
    <row r="188" ht="15.75" customHeight="1">
      <c r="H188" s="2"/>
    </row>
    <row r="189" ht="15.75" customHeight="1">
      <c r="H189" s="2"/>
    </row>
    <row r="190" ht="15.75" customHeight="1">
      <c r="H190" s="2"/>
    </row>
    <row r="191" ht="15.75" customHeight="1">
      <c r="H191" s="2"/>
    </row>
    <row r="192" ht="15.75" customHeight="1">
      <c r="H192" s="2"/>
    </row>
    <row r="193" ht="15.75" customHeight="1">
      <c r="H193" s="2"/>
    </row>
    <row r="194" ht="15.75" customHeight="1">
      <c r="H194" s="2"/>
    </row>
    <row r="195" ht="15.75" customHeight="1">
      <c r="H195" s="2"/>
    </row>
    <row r="196" ht="15.75" customHeight="1">
      <c r="H196" s="2"/>
    </row>
    <row r="197" ht="15.75" customHeight="1">
      <c r="H197" s="2"/>
    </row>
    <row r="198" ht="15.75" customHeight="1">
      <c r="H198" s="2"/>
    </row>
    <row r="199" ht="15.75" customHeight="1">
      <c r="H199" s="2"/>
    </row>
    <row r="200" ht="15.75" customHeight="1">
      <c r="H200" s="2"/>
    </row>
    <row r="201" ht="15.75" customHeight="1">
      <c r="H201" s="2"/>
    </row>
    <row r="202" ht="15.75" customHeight="1">
      <c r="H202" s="2"/>
    </row>
    <row r="203" ht="15.75" customHeight="1">
      <c r="H203" s="2"/>
    </row>
    <row r="204" ht="15.75" customHeight="1">
      <c r="H204" s="2"/>
    </row>
    <row r="205" ht="15.75" customHeight="1">
      <c r="H205" s="2"/>
    </row>
    <row r="206" ht="15.75" customHeight="1">
      <c r="H206" s="2"/>
    </row>
    <row r="207" ht="15.75" customHeight="1">
      <c r="H207" s="2"/>
    </row>
    <row r="208" ht="15.75" customHeight="1">
      <c r="H208" s="2"/>
    </row>
    <row r="209" ht="15.75" customHeight="1">
      <c r="H209" s="2"/>
    </row>
    <row r="210" ht="15.75" customHeight="1">
      <c r="H210" s="2"/>
    </row>
    <row r="211" ht="15.75" customHeight="1">
      <c r="H211" s="2"/>
    </row>
    <row r="212" ht="15.75" customHeight="1">
      <c r="H212" s="2"/>
    </row>
    <row r="213" ht="15.75" customHeight="1">
      <c r="H213" s="2"/>
    </row>
    <row r="214" ht="15.75" customHeight="1">
      <c r="H214" s="2"/>
    </row>
    <row r="215" ht="15.75" customHeight="1">
      <c r="H215" s="2"/>
    </row>
    <row r="216" ht="15.75" customHeight="1">
      <c r="H216" s="2"/>
    </row>
    <row r="217" ht="15.75" customHeight="1">
      <c r="H217" s="2"/>
    </row>
    <row r="218" ht="15.75" customHeight="1">
      <c r="H218" s="2"/>
    </row>
    <row r="219" ht="15.75" customHeight="1">
      <c r="H219" s="2"/>
    </row>
    <row r="220" ht="15.75" customHeight="1">
      <c r="H220" s="2"/>
    </row>
    <row r="221" ht="15.75" customHeight="1">
      <c r="H221" s="53"/>
    </row>
    <row r="222" ht="15.75" customHeight="1">
      <c r="H222" s="53"/>
    </row>
    <row r="223" ht="15.75" customHeight="1">
      <c r="H223" s="53"/>
    </row>
    <row r="224" ht="15.75" customHeight="1">
      <c r="H224" s="53"/>
    </row>
    <row r="225" ht="15.75" customHeight="1">
      <c r="H225" s="53"/>
    </row>
    <row r="226" ht="15.75" customHeight="1">
      <c r="H226" s="53"/>
    </row>
    <row r="227" ht="15.75" customHeight="1">
      <c r="H227" s="53"/>
    </row>
    <row r="228" ht="15.75" customHeight="1">
      <c r="H228" s="53"/>
    </row>
    <row r="229" ht="15.75" customHeight="1">
      <c r="H229" s="53"/>
    </row>
    <row r="230" ht="15.75" customHeight="1">
      <c r="H230" s="53"/>
    </row>
    <row r="231" ht="15.75" customHeight="1">
      <c r="H231" s="53"/>
    </row>
    <row r="232" ht="15.75" customHeight="1">
      <c r="H232" s="53"/>
    </row>
    <row r="233" ht="15.75" customHeight="1">
      <c r="H233" s="53"/>
    </row>
    <row r="234" ht="15.75" customHeight="1">
      <c r="H234" s="53"/>
    </row>
    <row r="235" ht="15.75" customHeight="1">
      <c r="H235" s="53"/>
    </row>
    <row r="236" ht="15.75" customHeight="1">
      <c r="H236" s="53"/>
    </row>
    <row r="237" ht="15.75" customHeight="1">
      <c r="H237" s="53"/>
    </row>
    <row r="238" ht="15.75" customHeight="1">
      <c r="H238" s="53"/>
    </row>
    <row r="239" ht="15.75" customHeight="1">
      <c r="H239" s="53"/>
    </row>
    <row r="240" ht="15.75" customHeight="1">
      <c r="H240" s="53"/>
    </row>
    <row r="241" ht="15.75" customHeight="1">
      <c r="H241" s="53"/>
    </row>
    <row r="242" ht="15.75" customHeight="1">
      <c r="H242" s="53"/>
    </row>
    <row r="243" ht="15.75" customHeight="1">
      <c r="H243" s="53"/>
    </row>
    <row r="244" ht="15.75" customHeight="1">
      <c r="H244" s="53"/>
    </row>
    <row r="245" ht="15.75" customHeight="1">
      <c r="H245" s="53"/>
    </row>
    <row r="246" ht="15.75" customHeight="1">
      <c r="H246" s="53"/>
    </row>
    <row r="247" ht="15.75" customHeight="1">
      <c r="H247" s="53"/>
    </row>
    <row r="248" ht="15.75" customHeight="1">
      <c r="H248" s="53"/>
    </row>
    <row r="249" ht="15.75" customHeight="1">
      <c r="H249" s="53"/>
    </row>
    <row r="250" ht="15.75" customHeight="1">
      <c r="H250" s="5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7"/>
  <mergeCells count="2">
    <mergeCell ref="A1:J1"/>
    <mergeCell ref="A2:J2"/>
  </mergeCells>
  <conditionalFormatting sqref="H4:H1000">
    <cfRule type="cellIs" dxfId="2" priority="1" stopIfTrue="1" operator="equal">
      <formula>"Complete"</formula>
    </cfRule>
  </conditionalFormatting>
  <conditionalFormatting sqref="H4:H1000">
    <cfRule type="cellIs" dxfId="0" priority="2" stopIfTrue="1" operator="equal">
      <formula>"In Progress"</formula>
    </cfRule>
  </conditionalFormatting>
  <conditionalFormatting sqref="H4:H1000">
    <cfRule type="cellIs" dxfId="3" priority="3" stopIfTrue="1" operator="equal">
      <formula>"Deferred"</formula>
    </cfRule>
  </conditionalFormatting>
  <dataValidations>
    <dataValidation type="list" allowBlank="1" showErrorMessage="1" sqref="H4:H250">
      <formula1>Lists!$D$4:$D$7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38"/>
    <col customWidth="1" min="2" max="2" width="15.13"/>
    <col customWidth="1" min="3" max="3" width="42.63"/>
    <col customWidth="1" min="4" max="4" width="16.38"/>
    <col customWidth="1" min="5" max="5" width="11.38"/>
    <col customWidth="1" min="6" max="6" width="15.13"/>
    <col customWidth="1" min="7" max="7" width="11.38"/>
    <col customWidth="1" min="8" max="9" width="13.88"/>
    <col customWidth="1" min="10" max="10" width="30.13"/>
  </cols>
  <sheetData>
    <row r="1" ht="15.75" customHeight="1">
      <c r="A1" s="1" t="s">
        <v>177</v>
      </c>
    </row>
    <row r="2" ht="15.75" customHeight="1">
      <c r="A2" s="3" t="s">
        <v>178</v>
      </c>
    </row>
    <row r="3" ht="15.75" customHeight="1">
      <c r="A3" s="4" t="s">
        <v>141</v>
      </c>
      <c r="B3" s="4" t="s">
        <v>142</v>
      </c>
      <c r="C3" s="4" t="s">
        <v>143</v>
      </c>
      <c r="D3" s="4" t="s">
        <v>144</v>
      </c>
      <c r="E3" s="4" t="s">
        <v>145</v>
      </c>
      <c r="F3" s="4" t="s">
        <v>146</v>
      </c>
      <c r="G3" s="4" t="s">
        <v>147</v>
      </c>
      <c r="H3" s="4" t="s">
        <v>33</v>
      </c>
      <c r="I3" s="4" t="s">
        <v>148</v>
      </c>
      <c r="J3" s="4" t="s">
        <v>23</v>
      </c>
    </row>
    <row r="4" ht="15.75" customHeight="1">
      <c r="A4" s="9" t="s">
        <v>180</v>
      </c>
      <c r="B4" s="9" t="s">
        <v>181</v>
      </c>
      <c r="C4" s="9" t="s">
        <v>182</v>
      </c>
      <c r="D4" s="9" t="s">
        <v>183</v>
      </c>
      <c r="E4" s="9" t="s">
        <v>184</v>
      </c>
      <c r="F4" s="9" t="s">
        <v>185</v>
      </c>
      <c r="G4" s="9">
        <v>90.0</v>
      </c>
      <c r="H4" s="9" t="s">
        <v>96</v>
      </c>
      <c r="I4" s="14">
        <v>46212.0</v>
      </c>
      <c r="J4" s="9" t="s">
        <v>186</v>
      </c>
    </row>
    <row r="5" ht="15.75" customHeight="1">
      <c r="A5" s="11" t="s">
        <v>187</v>
      </c>
      <c r="B5" s="11" t="s">
        <v>188</v>
      </c>
      <c r="C5" s="11" t="s">
        <v>189</v>
      </c>
      <c r="D5" s="11" t="s">
        <v>190</v>
      </c>
      <c r="E5" s="11" t="s">
        <v>184</v>
      </c>
      <c r="F5" s="11" t="s">
        <v>191</v>
      </c>
      <c r="G5" s="11">
        <v>60.0</v>
      </c>
      <c r="H5" s="11" t="s">
        <v>155</v>
      </c>
      <c r="I5" s="21">
        <v>46218.0</v>
      </c>
      <c r="J5" s="11" t="s">
        <v>193</v>
      </c>
    </row>
    <row r="6" ht="15.75" customHeight="1">
      <c r="A6" s="9" t="s">
        <v>194</v>
      </c>
      <c r="B6" s="9" t="s">
        <v>195</v>
      </c>
      <c r="C6" s="9" t="s">
        <v>196</v>
      </c>
      <c r="D6" s="9" t="s">
        <v>197</v>
      </c>
      <c r="E6" s="9" t="s">
        <v>184</v>
      </c>
      <c r="F6" s="9" t="s">
        <v>199</v>
      </c>
      <c r="G6" s="9">
        <v>45.0</v>
      </c>
      <c r="H6" s="9" t="s">
        <v>200</v>
      </c>
      <c r="I6" s="14">
        <v>46213.0</v>
      </c>
      <c r="J6" s="9" t="s">
        <v>201</v>
      </c>
    </row>
    <row r="7" ht="15.75" customHeight="1">
      <c r="A7" s="11" t="s">
        <v>202</v>
      </c>
      <c r="B7" s="11" t="s">
        <v>169</v>
      </c>
      <c r="C7" s="11" t="s">
        <v>203</v>
      </c>
      <c r="D7" s="11" t="s">
        <v>204</v>
      </c>
      <c r="E7" s="11" t="s">
        <v>184</v>
      </c>
      <c r="F7" s="11" t="s">
        <v>205</v>
      </c>
      <c r="G7" s="11">
        <v>75.0</v>
      </c>
      <c r="H7" s="11" t="s">
        <v>96</v>
      </c>
      <c r="I7" s="21">
        <v>46214.0</v>
      </c>
      <c r="J7" s="11" t="s">
        <v>207</v>
      </c>
    </row>
    <row r="8" ht="15.75" customHeight="1">
      <c r="H8" s="2"/>
    </row>
    <row r="9" ht="15.75" customHeight="1">
      <c r="H9" s="2"/>
    </row>
    <row r="10" ht="15.75" customHeight="1">
      <c r="H10" s="2"/>
    </row>
    <row r="11" ht="15.75" customHeight="1">
      <c r="H11" s="2"/>
    </row>
    <row r="12" ht="15.75" customHeight="1">
      <c r="H12" s="2"/>
    </row>
    <row r="13" ht="15.75" customHeight="1">
      <c r="H13" s="2"/>
    </row>
    <row r="14" ht="15.75" customHeight="1">
      <c r="H14" s="2"/>
    </row>
    <row r="15" ht="15.75" customHeight="1">
      <c r="H15" s="2"/>
    </row>
    <row r="16" ht="15.75" customHeight="1">
      <c r="H16" s="2"/>
    </row>
    <row r="17" ht="15.75" customHeight="1">
      <c r="H17" s="2"/>
    </row>
    <row r="18" ht="15.75" customHeight="1">
      <c r="H18" s="2"/>
    </row>
    <row r="19" ht="15.75" customHeight="1">
      <c r="H19" s="2"/>
    </row>
    <row r="20" ht="15.75" customHeight="1">
      <c r="H20" s="2"/>
    </row>
    <row r="21" ht="15.75" customHeight="1">
      <c r="H21" s="2"/>
    </row>
    <row r="22" ht="15.75" customHeight="1">
      <c r="H22" s="2"/>
    </row>
    <row r="23" ht="15.75" customHeight="1">
      <c r="H23" s="2"/>
    </row>
    <row r="24" ht="15.75" customHeight="1">
      <c r="H24" s="2"/>
    </row>
    <row r="25" ht="15.75" customHeight="1">
      <c r="H25" s="2"/>
    </row>
    <row r="26" ht="15.75" customHeight="1">
      <c r="H26" s="2"/>
    </row>
    <row r="27" ht="15.75" customHeight="1">
      <c r="H27" s="2"/>
    </row>
    <row r="28" ht="15.75" customHeight="1">
      <c r="H28" s="2"/>
    </row>
    <row r="29" ht="15.75" customHeight="1">
      <c r="H29" s="2"/>
    </row>
    <row r="30" ht="15.75" customHeight="1">
      <c r="H30" s="2"/>
    </row>
    <row r="31" ht="15.75" customHeight="1">
      <c r="H31" s="2"/>
    </row>
    <row r="32" ht="15.75" customHeight="1">
      <c r="H32" s="2"/>
    </row>
    <row r="33" ht="15.75" customHeight="1">
      <c r="H33" s="2"/>
    </row>
    <row r="34" ht="15.75" customHeight="1">
      <c r="H34" s="2"/>
    </row>
    <row r="35" ht="15.75" customHeight="1">
      <c r="H35" s="2"/>
    </row>
    <row r="36" ht="15.75" customHeight="1">
      <c r="H36" s="2"/>
    </row>
    <row r="37" ht="15.75" customHeight="1">
      <c r="H37" s="2"/>
    </row>
    <row r="38" ht="15.75" customHeight="1">
      <c r="H38" s="2"/>
    </row>
    <row r="39" ht="15.75" customHeight="1">
      <c r="H39" s="2"/>
    </row>
    <row r="40" ht="15.75" customHeight="1">
      <c r="H40" s="2"/>
    </row>
    <row r="41" ht="15.75" customHeight="1">
      <c r="H41" s="2"/>
    </row>
    <row r="42" ht="15.75" customHeight="1">
      <c r="H42" s="2"/>
    </row>
    <row r="43" ht="15.75" customHeight="1">
      <c r="H43" s="2"/>
    </row>
    <row r="44" ht="15.75" customHeight="1">
      <c r="H44" s="2"/>
    </row>
    <row r="45" ht="15.75" customHeight="1">
      <c r="H45" s="2"/>
    </row>
    <row r="46" ht="15.75" customHeight="1">
      <c r="H46" s="2"/>
    </row>
    <row r="47" ht="15.75" customHeight="1">
      <c r="H47" s="2"/>
    </row>
    <row r="48" ht="15.75" customHeight="1">
      <c r="H48" s="2"/>
    </row>
    <row r="49" ht="15.75" customHeight="1">
      <c r="H49" s="2"/>
    </row>
    <row r="50" ht="15.75" customHeight="1">
      <c r="H50" s="2"/>
    </row>
    <row r="51" ht="15.75" customHeight="1">
      <c r="H51" s="2"/>
    </row>
    <row r="52" ht="15.75" customHeight="1">
      <c r="H52" s="2"/>
    </row>
    <row r="53" ht="15.75" customHeight="1">
      <c r="H53" s="2"/>
    </row>
    <row r="54" ht="15.75" customHeight="1">
      <c r="H54" s="2"/>
    </row>
    <row r="55" ht="15.75" customHeight="1">
      <c r="H55" s="2"/>
    </row>
    <row r="56" ht="15.75" customHeight="1">
      <c r="H56" s="2"/>
    </row>
    <row r="57" ht="15.75" customHeight="1">
      <c r="H57" s="2"/>
    </row>
    <row r="58" ht="15.75" customHeight="1">
      <c r="H58" s="2"/>
    </row>
    <row r="59" ht="15.75" customHeight="1">
      <c r="H59" s="2"/>
    </row>
    <row r="60" ht="15.75" customHeight="1">
      <c r="H60" s="2"/>
    </row>
    <row r="61" ht="15.75" customHeight="1">
      <c r="H61" s="2"/>
    </row>
    <row r="62" ht="15.75" customHeight="1">
      <c r="H62" s="2"/>
    </row>
    <row r="63" ht="15.75" customHeight="1">
      <c r="H63" s="2"/>
    </row>
    <row r="64" ht="15.75" customHeight="1">
      <c r="H64" s="2"/>
    </row>
    <row r="65" ht="15.75" customHeight="1">
      <c r="H65" s="2"/>
    </row>
    <row r="66" ht="15.75" customHeight="1">
      <c r="H66" s="2"/>
    </row>
    <row r="67" ht="15.75" customHeight="1">
      <c r="H67" s="2"/>
    </row>
    <row r="68" ht="15.75" customHeight="1">
      <c r="H68" s="2"/>
    </row>
    <row r="69" ht="15.75" customHeight="1">
      <c r="H69" s="2"/>
    </row>
    <row r="70" ht="15.75" customHeight="1">
      <c r="H70" s="2"/>
    </row>
    <row r="71" ht="15.75" customHeight="1">
      <c r="H71" s="2"/>
    </row>
    <row r="72" ht="15.75" customHeight="1">
      <c r="H72" s="2"/>
    </row>
    <row r="73" ht="15.75" customHeight="1">
      <c r="H73" s="2"/>
    </row>
    <row r="74" ht="15.75" customHeight="1">
      <c r="H74" s="2"/>
    </row>
    <row r="75" ht="15.75" customHeight="1">
      <c r="H75" s="2"/>
    </row>
    <row r="76" ht="15.75" customHeight="1">
      <c r="H76" s="2"/>
    </row>
    <row r="77" ht="15.75" customHeight="1">
      <c r="H77" s="2"/>
    </row>
    <row r="78" ht="15.75" customHeight="1">
      <c r="H78" s="2"/>
    </row>
    <row r="79" ht="15.75" customHeight="1">
      <c r="H79" s="2"/>
    </row>
    <row r="80" ht="15.75" customHeight="1">
      <c r="H80" s="2"/>
    </row>
    <row r="81" ht="15.75" customHeight="1">
      <c r="H81" s="2"/>
    </row>
    <row r="82" ht="15.75" customHeight="1">
      <c r="H82" s="2"/>
    </row>
    <row r="83" ht="15.75" customHeight="1">
      <c r="H83" s="2"/>
    </row>
    <row r="84" ht="15.75" customHeight="1">
      <c r="H84" s="2"/>
    </row>
    <row r="85" ht="15.75" customHeight="1">
      <c r="H85" s="2"/>
    </row>
    <row r="86" ht="15.75" customHeight="1">
      <c r="H86" s="2"/>
    </row>
    <row r="87" ht="15.75" customHeight="1">
      <c r="H87" s="2"/>
    </row>
    <row r="88" ht="15.75" customHeight="1">
      <c r="H88" s="2"/>
    </row>
    <row r="89" ht="15.75" customHeight="1">
      <c r="H89" s="2"/>
    </row>
    <row r="90" ht="15.75" customHeight="1">
      <c r="H90" s="2"/>
    </row>
    <row r="91" ht="15.75" customHeight="1">
      <c r="H91" s="2"/>
    </row>
    <row r="92" ht="15.75" customHeight="1">
      <c r="H92" s="2"/>
    </row>
    <row r="93" ht="15.75" customHeight="1">
      <c r="H93" s="2"/>
    </row>
    <row r="94" ht="15.75" customHeight="1">
      <c r="H94" s="2"/>
    </row>
    <row r="95" ht="15.75" customHeight="1">
      <c r="H95" s="2"/>
    </row>
    <row r="96" ht="15.75" customHeight="1">
      <c r="H96" s="2"/>
    </row>
    <row r="97" ht="15.75" customHeight="1">
      <c r="H97" s="2"/>
    </row>
    <row r="98" ht="15.75" customHeight="1">
      <c r="H98" s="2"/>
    </row>
    <row r="99" ht="15.75" customHeight="1">
      <c r="H99" s="2"/>
    </row>
    <row r="100" ht="15.75" customHeight="1">
      <c r="H100" s="2"/>
    </row>
    <row r="101" ht="15.75" customHeight="1">
      <c r="H101" s="2"/>
    </row>
    <row r="102" ht="15.75" customHeight="1">
      <c r="H102" s="2"/>
    </row>
    <row r="103" ht="15.75" customHeight="1">
      <c r="H103" s="2"/>
    </row>
    <row r="104" ht="15.75" customHeight="1">
      <c r="H104" s="2"/>
    </row>
    <row r="105" ht="15.75" customHeight="1">
      <c r="H105" s="2"/>
    </row>
    <row r="106" ht="15.75" customHeight="1">
      <c r="H106" s="2"/>
    </row>
    <row r="107" ht="15.75" customHeight="1">
      <c r="H107" s="2"/>
    </row>
    <row r="108" ht="15.75" customHeight="1">
      <c r="H108" s="2"/>
    </row>
    <row r="109" ht="15.75" customHeight="1">
      <c r="H109" s="2"/>
    </row>
    <row r="110" ht="15.75" customHeight="1">
      <c r="H110" s="2"/>
    </row>
    <row r="111" ht="15.75" customHeight="1">
      <c r="H111" s="2"/>
    </row>
    <row r="112" ht="15.75" customHeight="1">
      <c r="H112" s="2"/>
    </row>
    <row r="113" ht="15.75" customHeight="1">
      <c r="H113" s="2"/>
    </row>
    <row r="114" ht="15.75" customHeight="1">
      <c r="H114" s="2"/>
    </row>
    <row r="115" ht="15.75" customHeight="1">
      <c r="H115" s="2"/>
    </row>
    <row r="116" ht="15.75" customHeight="1">
      <c r="H116" s="2"/>
    </row>
    <row r="117" ht="15.75" customHeight="1">
      <c r="H117" s="2"/>
    </row>
    <row r="118" ht="15.75" customHeight="1">
      <c r="H118" s="2"/>
    </row>
    <row r="119" ht="15.75" customHeight="1">
      <c r="H119" s="2"/>
    </row>
    <row r="120" ht="15.75" customHeight="1">
      <c r="H120" s="2"/>
    </row>
    <row r="121" ht="15.75" customHeight="1">
      <c r="H121" s="2"/>
    </row>
    <row r="122" ht="15.75" customHeight="1">
      <c r="H122" s="2"/>
    </row>
    <row r="123" ht="15.75" customHeight="1">
      <c r="H123" s="2"/>
    </row>
    <row r="124" ht="15.75" customHeight="1">
      <c r="H124" s="2"/>
    </row>
    <row r="125" ht="15.75" customHeight="1">
      <c r="H125" s="2"/>
    </row>
    <row r="126" ht="15.75" customHeight="1">
      <c r="H126" s="2"/>
    </row>
    <row r="127" ht="15.75" customHeight="1">
      <c r="H127" s="2"/>
    </row>
    <row r="128" ht="15.75" customHeight="1">
      <c r="H128" s="2"/>
    </row>
    <row r="129" ht="15.75" customHeight="1">
      <c r="H129" s="2"/>
    </row>
    <row r="130" ht="15.75" customHeight="1">
      <c r="H130" s="2"/>
    </row>
    <row r="131" ht="15.75" customHeight="1">
      <c r="H131" s="2"/>
    </row>
    <row r="132" ht="15.75" customHeight="1">
      <c r="H132" s="2"/>
    </row>
    <row r="133" ht="15.75" customHeight="1">
      <c r="H133" s="2"/>
    </row>
    <row r="134" ht="15.75" customHeight="1">
      <c r="H134" s="2"/>
    </row>
    <row r="135" ht="15.75" customHeight="1">
      <c r="H135" s="2"/>
    </row>
    <row r="136" ht="15.75" customHeight="1">
      <c r="H136" s="2"/>
    </row>
    <row r="137" ht="15.75" customHeight="1">
      <c r="H137" s="2"/>
    </row>
    <row r="138" ht="15.75" customHeight="1">
      <c r="H138" s="2"/>
    </row>
    <row r="139" ht="15.75" customHeight="1">
      <c r="H139" s="2"/>
    </row>
    <row r="140" ht="15.75" customHeight="1">
      <c r="H140" s="2"/>
    </row>
    <row r="141" ht="15.75" customHeight="1">
      <c r="H141" s="2"/>
    </row>
    <row r="142" ht="15.75" customHeight="1">
      <c r="H142" s="2"/>
    </row>
    <row r="143" ht="15.75" customHeight="1">
      <c r="H143" s="2"/>
    </row>
    <row r="144" ht="15.75" customHeight="1">
      <c r="H144" s="2"/>
    </row>
    <row r="145" ht="15.75" customHeight="1">
      <c r="H145" s="2"/>
    </row>
    <row r="146" ht="15.75" customHeight="1">
      <c r="H146" s="2"/>
    </row>
    <row r="147" ht="15.75" customHeight="1">
      <c r="H147" s="2"/>
    </row>
    <row r="148" ht="15.75" customHeight="1">
      <c r="H148" s="2"/>
    </row>
    <row r="149" ht="15.75" customHeight="1">
      <c r="H149" s="2"/>
    </row>
    <row r="150" ht="15.75" customHeight="1">
      <c r="H150" s="2"/>
    </row>
    <row r="151" ht="15.75" customHeight="1">
      <c r="H151" s="2"/>
    </row>
    <row r="152" ht="15.75" customHeight="1">
      <c r="H152" s="2"/>
    </row>
    <row r="153" ht="15.75" customHeight="1">
      <c r="H153" s="2"/>
    </row>
    <row r="154" ht="15.75" customHeight="1">
      <c r="H154" s="2"/>
    </row>
    <row r="155" ht="15.75" customHeight="1">
      <c r="H155" s="2"/>
    </row>
    <row r="156" ht="15.75" customHeight="1">
      <c r="H156" s="2"/>
    </row>
    <row r="157" ht="15.75" customHeight="1">
      <c r="H157" s="2"/>
    </row>
    <row r="158" ht="15.75" customHeight="1">
      <c r="H158" s="2"/>
    </row>
    <row r="159" ht="15.75" customHeight="1">
      <c r="H159" s="2"/>
    </row>
    <row r="160" ht="15.75" customHeight="1">
      <c r="H160" s="2"/>
    </row>
    <row r="161" ht="15.75" customHeight="1">
      <c r="H161" s="2"/>
    </row>
    <row r="162" ht="15.75" customHeight="1">
      <c r="H162" s="2"/>
    </row>
    <row r="163" ht="15.75" customHeight="1">
      <c r="H163" s="2"/>
    </row>
    <row r="164" ht="15.75" customHeight="1">
      <c r="H164" s="2"/>
    </row>
    <row r="165" ht="15.75" customHeight="1">
      <c r="H165" s="2"/>
    </row>
    <row r="166" ht="15.75" customHeight="1">
      <c r="H166" s="2"/>
    </row>
    <row r="167" ht="15.75" customHeight="1">
      <c r="H167" s="2"/>
    </row>
    <row r="168" ht="15.75" customHeight="1">
      <c r="H168" s="2"/>
    </row>
    <row r="169" ht="15.75" customHeight="1">
      <c r="H169" s="2"/>
    </row>
    <row r="170" ht="15.75" customHeight="1">
      <c r="H170" s="2"/>
    </row>
    <row r="171" ht="15.75" customHeight="1">
      <c r="H171" s="2"/>
    </row>
    <row r="172" ht="15.75" customHeight="1">
      <c r="H172" s="2"/>
    </row>
    <row r="173" ht="15.75" customHeight="1">
      <c r="H173" s="2"/>
    </row>
    <row r="174" ht="15.75" customHeight="1">
      <c r="H174" s="2"/>
    </row>
    <row r="175" ht="15.75" customHeight="1">
      <c r="H175" s="2"/>
    </row>
    <row r="176" ht="15.75" customHeight="1">
      <c r="H176" s="2"/>
    </row>
    <row r="177" ht="15.75" customHeight="1">
      <c r="H177" s="2"/>
    </row>
    <row r="178" ht="15.75" customHeight="1">
      <c r="H178" s="2"/>
    </row>
    <row r="179" ht="15.75" customHeight="1">
      <c r="H179" s="2"/>
    </row>
    <row r="180" ht="15.75" customHeight="1">
      <c r="H180" s="2"/>
    </row>
    <row r="181" ht="15.75" customHeight="1">
      <c r="H181" s="2"/>
    </row>
    <row r="182" ht="15.75" customHeight="1">
      <c r="H182" s="2"/>
    </row>
    <row r="183" ht="15.75" customHeight="1">
      <c r="H183" s="2"/>
    </row>
    <row r="184" ht="15.75" customHeight="1">
      <c r="H184" s="2"/>
    </row>
    <row r="185" ht="15.75" customHeight="1">
      <c r="H185" s="2"/>
    </row>
    <row r="186" ht="15.75" customHeight="1">
      <c r="H186" s="2"/>
    </row>
    <row r="187" ht="15.75" customHeight="1">
      <c r="H187" s="2"/>
    </row>
    <row r="188" ht="15.75" customHeight="1">
      <c r="H188" s="2"/>
    </row>
    <row r="189" ht="15.75" customHeight="1">
      <c r="H189" s="2"/>
    </row>
    <row r="190" ht="15.75" customHeight="1">
      <c r="H190" s="2"/>
    </row>
    <row r="191" ht="15.75" customHeight="1">
      <c r="H191" s="2"/>
    </row>
    <row r="192" ht="15.75" customHeight="1">
      <c r="H192" s="2"/>
    </row>
    <row r="193" ht="15.75" customHeight="1">
      <c r="H193" s="2"/>
    </row>
    <row r="194" ht="15.75" customHeight="1">
      <c r="H194" s="2"/>
    </row>
    <row r="195" ht="15.75" customHeight="1">
      <c r="H195" s="2"/>
    </row>
    <row r="196" ht="15.75" customHeight="1">
      <c r="H196" s="2"/>
    </row>
    <row r="197" ht="15.75" customHeight="1">
      <c r="H197" s="2"/>
    </row>
    <row r="198" ht="15.75" customHeight="1">
      <c r="H198" s="2"/>
    </row>
    <row r="199" ht="15.75" customHeight="1">
      <c r="H199" s="2"/>
    </row>
    <row r="200" ht="15.75" customHeight="1">
      <c r="H200" s="2"/>
    </row>
    <row r="201" ht="15.75" customHeight="1">
      <c r="H201" s="2"/>
    </row>
    <row r="202" ht="15.75" customHeight="1">
      <c r="H202" s="2"/>
    </row>
    <row r="203" ht="15.75" customHeight="1">
      <c r="H203" s="2"/>
    </row>
    <row r="204" ht="15.75" customHeight="1">
      <c r="H204" s="2"/>
    </row>
    <row r="205" ht="15.75" customHeight="1">
      <c r="H205" s="2"/>
    </row>
    <row r="206" ht="15.75" customHeight="1">
      <c r="H206" s="2"/>
    </row>
    <row r="207" ht="15.75" customHeight="1">
      <c r="H207" s="2"/>
    </row>
    <row r="208" ht="15.75" customHeight="1">
      <c r="H208" s="2"/>
    </row>
    <row r="209" ht="15.75" customHeight="1">
      <c r="H209" s="2"/>
    </row>
    <row r="210" ht="15.75" customHeight="1">
      <c r="H210" s="2"/>
    </row>
    <row r="211" ht="15.75" customHeight="1">
      <c r="H211" s="2"/>
    </row>
    <row r="212" ht="15.75" customHeight="1">
      <c r="H212" s="2"/>
    </row>
    <row r="213" ht="15.75" customHeight="1">
      <c r="H213" s="2"/>
    </row>
    <row r="214" ht="15.75" customHeight="1">
      <c r="H214" s="2"/>
    </row>
    <row r="215" ht="15.75" customHeight="1">
      <c r="H215" s="2"/>
    </row>
    <row r="216" ht="15.75" customHeight="1">
      <c r="H216" s="2"/>
    </row>
    <row r="217" ht="15.75" customHeight="1">
      <c r="H217" s="2"/>
    </row>
    <row r="218" ht="15.75" customHeight="1">
      <c r="H218" s="2"/>
    </row>
    <row r="219" ht="15.75" customHeight="1">
      <c r="H219" s="2"/>
    </row>
    <row r="220" ht="15.75" customHeight="1">
      <c r="H220" s="2"/>
    </row>
    <row r="221" ht="15.75" customHeight="1">
      <c r="H221" s="53"/>
    </row>
    <row r="222" ht="15.75" customHeight="1">
      <c r="H222" s="53"/>
    </row>
    <row r="223" ht="15.75" customHeight="1">
      <c r="H223" s="53"/>
    </row>
    <row r="224" ht="15.75" customHeight="1">
      <c r="H224" s="53"/>
    </row>
    <row r="225" ht="15.75" customHeight="1">
      <c r="H225" s="53"/>
    </row>
    <row r="226" ht="15.75" customHeight="1">
      <c r="H226" s="53"/>
    </row>
    <row r="227" ht="15.75" customHeight="1">
      <c r="H227" s="53"/>
    </row>
    <row r="228" ht="15.75" customHeight="1">
      <c r="H228" s="53"/>
    </row>
    <row r="229" ht="15.75" customHeight="1">
      <c r="H229" s="53"/>
    </row>
    <row r="230" ht="15.75" customHeight="1">
      <c r="H230" s="53"/>
    </row>
    <row r="231" ht="15.75" customHeight="1">
      <c r="H231" s="53"/>
    </row>
    <row r="232" ht="15.75" customHeight="1">
      <c r="H232" s="53"/>
    </row>
    <row r="233" ht="15.75" customHeight="1">
      <c r="H233" s="53"/>
    </row>
    <row r="234" ht="15.75" customHeight="1">
      <c r="H234" s="53"/>
    </row>
    <row r="235" ht="15.75" customHeight="1">
      <c r="H235" s="53"/>
    </row>
    <row r="236" ht="15.75" customHeight="1">
      <c r="H236" s="53"/>
    </row>
    <row r="237" ht="15.75" customHeight="1">
      <c r="H237" s="53"/>
    </row>
    <row r="238" ht="15.75" customHeight="1">
      <c r="H238" s="53"/>
    </row>
    <row r="239" ht="15.75" customHeight="1">
      <c r="H239" s="53"/>
    </row>
    <row r="240" ht="15.75" customHeight="1">
      <c r="H240" s="53"/>
    </row>
    <row r="241" ht="15.75" customHeight="1">
      <c r="H241" s="53"/>
    </row>
    <row r="242" ht="15.75" customHeight="1">
      <c r="H242" s="53"/>
    </row>
    <row r="243" ht="15.75" customHeight="1">
      <c r="H243" s="53"/>
    </row>
    <row r="244" ht="15.75" customHeight="1">
      <c r="H244" s="53"/>
    </row>
    <row r="245" ht="15.75" customHeight="1">
      <c r="H245" s="53"/>
    </row>
    <row r="246" ht="15.75" customHeight="1">
      <c r="H246" s="53"/>
    </row>
    <row r="247" ht="15.75" customHeight="1">
      <c r="H247" s="53"/>
    </row>
    <row r="248" ht="15.75" customHeight="1">
      <c r="H248" s="53"/>
    </row>
    <row r="249" ht="15.75" customHeight="1">
      <c r="H249" s="53"/>
    </row>
    <row r="250" ht="15.75" customHeight="1">
      <c r="H250" s="5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7"/>
  <mergeCells count="2">
    <mergeCell ref="A1:J1"/>
    <mergeCell ref="A2:J2"/>
  </mergeCells>
  <conditionalFormatting sqref="H4:H1000">
    <cfRule type="cellIs" dxfId="2" priority="1" stopIfTrue="1" operator="equal">
      <formula>"Complete"</formula>
    </cfRule>
  </conditionalFormatting>
  <conditionalFormatting sqref="H4:H1000">
    <cfRule type="cellIs" dxfId="0" priority="2" stopIfTrue="1" operator="equal">
      <formula>"In Progress"</formula>
    </cfRule>
  </conditionalFormatting>
  <conditionalFormatting sqref="H4:H1000">
    <cfRule type="cellIs" dxfId="3" priority="3" stopIfTrue="1" operator="equal">
      <formula>"Deferred"</formula>
    </cfRule>
  </conditionalFormatting>
  <dataValidations>
    <dataValidation type="list" allowBlank="1" showErrorMessage="1" sqref="H4:H250">
      <formula1>Lists!$D$4:$D$7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38"/>
    <col customWidth="1" min="2" max="2" width="15.13"/>
    <col customWidth="1" min="3" max="3" width="42.63"/>
    <col customWidth="1" min="4" max="4" width="16.38"/>
    <col customWidth="1" min="5" max="5" width="11.38"/>
    <col customWidth="1" min="6" max="6" width="15.13"/>
    <col customWidth="1" min="7" max="7" width="11.38"/>
    <col customWidth="1" min="8" max="9" width="13.88"/>
    <col customWidth="1" min="10" max="10" width="30.13"/>
  </cols>
  <sheetData>
    <row r="1" ht="15.75" customHeight="1">
      <c r="A1" s="1" t="s">
        <v>220</v>
      </c>
    </row>
    <row r="2" ht="15.75" customHeight="1">
      <c r="A2" s="3" t="s">
        <v>221</v>
      </c>
    </row>
    <row r="3" ht="15.75" customHeight="1">
      <c r="A3" s="4" t="s">
        <v>141</v>
      </c>
      <c r="B3" s="4" t="s">
        <v>142</v>
      </c>
      <c r="C3" s="4" t="s">
        <v>143</v>
      </c>
      <c r="D3" s="4" t="s">
        <v>144</v>
      </c>
      <c r="E3" s="4" t="s">
        <v>145</v>
      </c>
      <c r="F3" s="4" t="s">
        <v>146</v>
      </c>
      <c r="G3" s="4" t="s">
        <v>147</v>
      </c>
      <c r="H3" s="4" t="s">
        <v>33</v>
      </c>
      <c r="I3" s="4" t="s">
        <v>148</v>
      </c>
      <c r="J3" s="4" t="s">
        <v>23</v>
      </c>
    </row>
    <row r="4" ht="15.75" customHeight="1">
      <c r="A4" s="9" t="s">
        <v>222</v>
      </c>
      <c r="B4" s="9" t="s">
        <v>223</v>
      </c>
      <c r="C4" s="9" t="s">
        <v>224</v>
      </c>
      <c r="D4" s="9" t="s">
        <v>225</v>
      </c>
      <c r="E4" s="9" t="s">
        <v>226</v>
      </c>
      <c r="F4" s="9" t="s">
        <v>227</v>
      </c>
      <c r="G4" s="9">
        <v>75.0</v>
      </c>
      <c r="H4" s="9" t="s">
        <v>96</v>
      </c>
      <c r="I4" s="14">
        <v>46203.0</v>
      </c>
      <c r="J4" s="9" t="s">
        <v>228</v>
      </c>
    </row>
    <row r="5" ht="15.75" customHeight="1">
      <c r="A5" s="11" t="s">
        <v>229</v>
      </c>
      <c r="B5" s="11" t="s">
        <v>181</v>
      </c>
      <c r="C5" s="11" t="s">
        <v>230</v>
      </c>
      <c r="D5" s="11" t="s">
        <v>231</v>
      </c>
      <c r="E5" s="11" t="s">
        <v>226</v>
      </c>
      <c r="F5" s="11" t="s">
        <v>232</v>
      </c>
      <c r="G5" s="11">
        <v>180.0</v>
      </c>
      <c r="H5" s="11" t="s">
        <v>200</v>
      </c>
      <c r="I5" s="21">
        <v>46193.0</v>
      </c>
      <c r="J5" s="11" t="s">
        <v>233</v>
      </c>
    </row>
    <row r="6" ht="15.75" customHeight="1">
      <c r="A6" s="9" t="s">
        <v>234</v>
      </c>
      <c r="B6" s="9" t="s">
        <v>235</v>
      </c>
      <c r="C6" s="9" t="s">
        <v>236</v>
      </c>
      <c r="D6" s="9" t="s">
        <v>237</v>
      </c>
      <c r="E6" s="9" t="s">
        <v>226</v>
      </c>
      <c r="F6" s="9" t="s">
        <v>239</v>
      </c>
      <c r="G6" s="9">
        <v>120.0</v>
      </c>
      <c r="H6" s="9" t="s">
        <v>155</v>
      </c>
      <c r="I6" s="14">
        <v>46205.0</v>
      </c>
      <c r="J6" s="9" t="s">
        <v>240</v>
      </c>
    </row>
    <row r="7" ht="15.75" customHeight="1">
      <c r="A7" s="11" t="s">
        <v>241</v>
      </c>
      <c r="B7" s="11" t="s">
        <v>242</v>
      </c>
      <c r="C7" s="11" t="s">
        <v>243</v>
      </c>
      <c r="D7" s="11" t="s">
        <v>166</v>
      </c>
      <c r="E7" s="11" t="s">
        <v>226</v>
      </c>
      <c r="F7" s="11" t="s">
        <v>244</v>
      </c>
      <c r="G7" s="11">
        <v>150.0</v>
      </c>
      <c r="H7" s="11" t="s">
        <v>96</v>
      </c>
      <c r="I7" s="21">
        <v>46199.0</v>
      </c>
      <c r="J7" s="11" t="s">
        <v>245</v>
      </c>
    </row>
    <row r="8" ht="15.75" customHeight="1">
      <c r="H8" s="2"/>
    </row>
    <row r="9" ht="15.75" customHeight="1">
      <c r="H9" s="2"/>
    </row>
    <row r="10" ht="15.75" customHeight="1">
      <c r="H10" s="2"/>
    </row>
    <row r="11" ht="15.75" customHeight="1">
      <c r="H11" s="2"/>
    </row>
    <row r="12" ht="15.75" customHeight="1">
      <c r="H12" s="2"/>
    </row>
    <row r="13" ht="15.75" customHeight="1">
      <c r="H13" s="2"/>
    </row>
    <row r="14" ht="15.75" customHeight="1">
      <c r="H14" s="2"/>
    </row>
    <row r="15" ht="15.75" customHeight="1">
      <c r="H15" s="2"/>
    </row>
    <row r="16" ht="15.75" customHeight="1">
      <c r="H16" s="2"/>
    </row>
    <row r="17" ht="15.75" customHeight="1">
      <c r="H17" s="2"/>
    </row>
    <row r="18" ht="15.75" customHeight="1">
      <c r="H18" s="2"/>
    </row>
    <row r="19" ht="15.75" customHeight="1">
      <c r="H19" s="2"/>
    </row>
    <row r="20" ht="15.75" customHeight="1">
      <c r="H20" s="2"/>
    </row>
    <row r="21" ht="15.75" customHeight="1">
      <c r="H21" s="2"/>
    </row>
    <row r="22" ht="15.75" customHeight="1">
      <c r="H22" s="2"/>
    </row>
    <row r="23" ht="15.75" customHeight="1">
      <c r="H23" s="2"/>
    </row>
    <row r="24" ht="15.75" customHeight="1">
      <c r="H24" s="2"/>
    </row>
    <row r="25" ht="15.75" customHeight="1">
      <c r="H25" s="2"/>
    </row>
    <row r="26" ht="15.75" customHeight="1">
      <c r="H26" s="2"/>
    </row>
    <row r="27" ht="15.75" customHeight="1">
      <c r="H27" s="2"/>
    </row>
    <row r="28" ht="15.75" customHeight="1">
      <c r="H28" s="2"/>
    </row>
    <row r="29" ht="15.75" customHeight="1">
      <c r="H29" s="2"/>
    </row>
    <row r="30" ht="15.75" customHeight="1">
      <c r="H30" s="2"/>
    </row>
    <row r="31" ht="15.75" customHeight="1">
      <c r="H31" s="2"/>
    </row>
    <row r="32" ht="15.75" customHeight="1">
      <c r="H32" s="2"/>
    </row>
    <row r="33" ht="15.75" customHeight="1">
      <c r="H33" s="2"/>
    </row>
    <row r="34" ht="15.75" customHeight="1">
      <c r="H34" s="2"/>
    </row>
    <row r="35" ht="15.75" customHeight="1">
      <c r="H35" s="2"/>
    </row>
    <row r="36" ht="15.75" customHeight="1">
      <c r="H36" s="2"/>
    </row>
    <row r="37" ht="15.75" customHeight="1">
      <c r="H37" s="2"/>
    </row>
    <row r="38" ht="15.75" customHeight="1">
      <c r="H38" s="2"/>
    </row>
    <row r="39" ht="15.75" customHeight="1">
      <c r="H39" s="2"/>
    </row>
    <row r="40" ht="15.75" customHeight="1">
      <c r="H40" s="2"/>
    </row>
    <row r="41" ht="15.75" customHeight="1">
      <c r="H41" s="2"/>
    </row>
    <row r="42" ht="15.75" customHeight="1">
      <c r="H42" s="2"/>
    </row>
    <row r="43" ht="15.75" customHeight="1">
      <c r="H43" s="2"/>
    </row>
    <row r="44" ht="15.75" customHeight="1">
      <c r="H44" s="2"/>
    </row>
    <row r="45" ht="15.75" customHeight="1">
      <c r="H45" s="2"/>
    </row>
    <row r="46" ht="15.75" customHeight="1">
      <c r="H46" s="2"/>
    </row>
    <row r="47" ht="15.75" customHeight="1">
      <c r="H47" s="2"/>
    </row>
    <row r="48" ht="15.75" customHeight="1">
      <c r="H48" s="2"/>
    </row>
    <row r="49" ht="15.75" customHeight="1">
      <c r="H49" s="2"/>
    </row>
    <row r="50" ht="15.75" customHeight="1">
      <c r="H50" s="2"/>
    </row>
    <row r="51" ht="15.75" customHeight="1">
      <c r="H51" s="2"/>
    </row>
    <row r="52" ht="15.75" customHeight="1">
      <c r="H52" s="2"/>
    </row>
    <row r="53" ht="15.75" customHeight="1">
      <c r="H53" s="2"/>
    </row>
    <row r="54" ht="15.75" customHeight="1">
      <c r="H54" s="2"/>
    </row>
    <row r="55" ht="15.75" customHeight="1">
      <c r="H55" s="2"/>
    </row>
    <row r="56" ht="15.75" customHeight="1">
      <c r="H56" s="2"/>
    </row>
    <row r="57" ht="15.75" customHeight="1">
      <c r="H57" s="2"/>
    </row>
    <row r="58" ht="15.75" customHeight="1">
      <c r="H58" s="2"/>
    </row>
    <row r="59" ht="15.75" customHeight="1">
      <c r="H59" s="2"/>
    </row>
    <row r="60" ht="15.75" customHeight="1">
      <c r="H60" s="2"/>
    </row>
    <row r="61" ht="15.75" customHeight="1">
      <c r="H61" s="2"/>
    </row>
    <row r="62" ht="15.75" customHeight="1">
      <c r="H62" s="2"/>
    </row>
    <row r="63" ht="15.75" customHeight="1">
      <c r="H63" s="2"/>
    </row>
    <row r="64" ht="15.75" customHeight="1">
      <c r="H64" s="2"/>
    </row>
    <row r="65" ht="15.75" customHeight="1">
      <c r="H65" s="2"/>
    </row>
    <row r="66" ht="15.75" customHeight="1">
      <c r="H66" s="2"/>
    </row>
    <row r="67" ht="15.75" customHeight="1">
      <c r="H67" s="2"/>
    </row>
    <row r="68" ht="15.75" customHeight="1">
      <c r="H68" s="2"/>
    </row>
    <row r="69" ht="15.75" customHeight="1">
      <c r="H69" s="2"/>
    </row>
    <row r="70" ht="15.75" customHeight="1">
      <c r="H70" s="2"/>
    </row>
    <row r="71" ht="15.75" customHeight="1">
      <c r="H71" s="2"/>
    </row>
    <row r="72" ht="15.75" customHeight="1">
      <c r="H72" s="2"/>
    </row>
    <row r="73" ht="15.75" customHeight="1">
      <c r="H73" s="2"/>
    </row>
    <row r="74" ht="15.75" customHeight="1">
      <c r="H74" s="2"/>
    </row>
    <row r="75" ht="15.75" customHeight="1">
      <c r="H75" s="2"/>
    </row>
    <row r="76" ht="15.75" customHeight="1">
      <c r="H76" s="2"/>
    </row>
    <row r="77" ht="15.75" customHeight="1">
      <c r="H77" s="2"/>
    </row>
    <row r="78" ht="15.75" customHeight="1">
      <c r="H78" s="2"/>
    </row>
    <row r="79" ht="15.75" customHeight="1">
      <c r="H79" s="2"/>
    </row>
    <row r="80" ht="15.75" customHeight="1">
      <c r="H80" s="2"/>
    </row>
    <row r="81" ht="15.75" customHeight="1">
      <c r="H81" s="2"/>
    </row>
    <row r="82" ht="15.75" customHeight="1">
      <c r="H82" s="2"/>
    </row>
    <row r="83" ht="15.75" customHeight="1">
      <c r="H83" s="2"/>
    </row>
    <row r="84" ht="15.75" customHeight="1">
      <c r="H84" s="2"/>
    </row>
    <row r="85" ht="15.75" customHeight="1">
      <c r="H85" s="2"/>
    </row>
    <row r="86" ht="15.75" customHeight="1">
      <c r="H86" s="2"/>
    </row>
    <row r="87" ht="15.75" customHeight="1">
      <c r="H87" s="2"/>
    </row>
    <row r="88" ht="15.75" customHeight="1">
      <c r="H88" s="2"/>
    </row>
    <row r="89" ht="15.75" customHeight="1">
      <c r="H89" s="2"/>
    </row>
    <row r="90" ht="15.75" customHeight="1">
      <c r="H90" s="2"/>
    </row>
    <row r="91" ht="15.75" customHeight="1">
      <c r="H91" s="2"/>
    </row>
    <row r="92" ht="15.75" customHeight="1">
      <c r="H92" s="2"/>
    </row>
    <row r="93" ht="15.75" customHeight="1">
      <c r="H93" s="2"/>
    </row>
    <row r="94" ht="15.75" customHeight="1">
      <c r="H94" s="2"/>
    </row>
    <row r="95" ht="15.75" customHeight="1">
      <c r="H95" s="2"/>
    </row>
    <row r="96" ht="15.75" customHeight="1">
      <c r="H96" s="2"/>
    </row>
    <row r="97" ht="15.75" customHeight="1">
      <c r="H97" s="2"/>
    </row>
    <row r="98" ht="15.75" customHeight="1">
      <c r="H98" s="2"/>
    </row>
    <row r="99" ht="15.75" customHeight="1">
      <c r="H99" s="2"/>
    </row>
    <row r="100" ht="15.75" customHeight="1">
      <c r="H100" s="2"/>
    </row>
    <row r="101" ht="15.75" customHeight="1">
      <c r="H101" s="2"/>
    </row>
    <row r="102" ht="15.75" customHeight="1">
      <c r="H102" s="2"/>
    </row>
    <row r="103" ht="15.75" customHeight="1">
      <c r="H103" s="2"/>
    </row>
    <row r="104" ht="15.75" customHeight="1">
      <c r="H104" s="2"/>
    </row>
    <row r="105" ht="15.75" customHeight="1">
      <c r="H105" s="2"/>
    </row>
    <row r="106" ht="15.75" customHeight="1">
      <c r="H106" s="2"/>
    </row>
    <row r="107" ht="15.75" customHeight="1">
      <c r="H107" s="2"/>
    </row>
    <row r="108" ht="15.75" customHeight="1">
      <c r="H108" s="2"/>
    </row>
    <row r="109" ht="15.75" customHeight="1">
      <c r="H109" s="2"/>
    </row>
    <row r="110" ht="15.75" customHeight="1">
      <c r="H110" s="2"/>
    </row>
    <row r="111" ht="15.75" customHeight="1">
      <c r="H111" s="2"/>
    </row>
    <row r="112" ht="15.75" customHeight="1">
      <c r="H112" s="2"/>
    </row>
    <row r="113" ht="15.75" customHeight="1">
      <c r="H113" s="2"/>
    </row>
    <row r="114" ht="15.75" customHeight="1">
      <c r="H114" s="2"/>
    </row>
    <row r="115" ht="15.75" customHeight="1">
      <c r="H115" s="2"/>
    </row>
    <row r="116" ht="15.75" customHeight="1">
      <c r="H116" s="2"/>
    </row>
    <row r="117" ht="15.75" customHeight="1">
      <c r="H117" s="2"/>
    </row>
    <row r="118" ht="15.75" customHeight="1">
      <c r="H118" s="2"/>
    </row>
    <row r="119" ht="15.75" customHeight="1">
      <c r="H119" s="2"/>
    </row>
    <row r="120" ht="15.75" customHeight="1">
      <c r="H120" s="2"/>
    </row>
    <row r="121" ht="15.75" customHeight="1">
      <c r="H121" s="2"/>
    </row>
    <row r="122" ht="15.75" customHeight="1">
      <c r="H122" s="2"/>
    </row>
    <row r="123" ht="15.75" customHeight="1">
      <c r="H123" s="2"/>
    </row>
    <row r="124" ht="15.75" customHeight="1">
      <c r="H124" s="2"/>
    </row>
    <row r="125" ht="15.75" customHeight="1">
      <c r="H125" s="2"/>
    </row>
    <row r="126" ht="15.75" customHeight="1">
      <c r="H126" s="2"/>
    </row>
    <row r="127" ht="15.75" customHeight="1">
      <c r="H127" s="2"/>
    </row>
    <row r="128" ht="15.75" customHeight="1">
      <c r="H128" s="2"/>
    </row>
    <row r="129" ht="15.75" customHeight="1">
      <c r="H129" s="2"/>
    </row>
    <row r="130" ht="15.75" customHeight="1">
      <c r="H130" s="2"/>
    </row>
    <row r="131" ht="15.75" customHeight="1">
      <c r="H131" s="2"/>
    </row>
    <row r="132" ht="15.75" customHeight="1">
      <c r="H132" s="2"/>
    </row>
    <row r="133" ht="15.75" customHeight="1">
      <c r="H133" s="2"/>
    </row>
    <row r="134" ht="15.75" customHeight="1">
      <c r="H134" s="2"/>
    </row>
    <row r="135" ht="15.75" customHeight="1">
      <c r="H135" s="2"/>
    </row>
    <row r="136" ht="15.75" customHeight="1">
      <c r="H136" s="2"/>
    </row>
    <row r="137" ht="15.75" customHeight="1">
      <c r="H137" s="2"/>
    </row>
    <row r="138" ht="15.75" customHeight="1">
      <c r="H138" s="2"/>
    </row>
    <row r="139" ht="15.75" customHeight="1">
      <c r="H139" s="2"/>
    </row>
    <row r="140" ht="15.75" customHeight="1">
      <c r="H140" s="2"/>
    </row>
    <row r="141" ht="15.75" customHeight="1">
      <c r="H141" s="2"/>
    </row>
    <row r="142" ht="15.75" customHeight="1">
      <c r="H142" s="2"/>
    </row>
    <row r="143" ht="15.75" customHeight="1">
      <c r="H143" s="2"/>
    </row>
    <row r="144" ht="15.75" customHeight="1">
      <c r="H144" s="2"/>
    </row>
    <row r="145" ht="15.75" customHeight="1">
      <c r="H145" s="2"/>
    </row>
    <row r="146" ht="15.75" customHeight="1">
      <c r="H146" s="2"/>
    </row>
    <row r="147" ht="15.75" customHeight="1">
      <c r="H147" s="2"/>
    </row>
    <row r="148" ht="15.75" customHeight="1">
      <c r="H148" s="2"/>
    </row>
    <row r="149" ht="15.75" customHeight="1">
      <c r="H149" s="2"/>
    </row>
    <row r="150" ht="15.75" customHeight="1">
      <c r="H150" s="2"/>
    </row>
    <row r="151" ht="15.75" customHeight="1">
      <c r="H151" s="2"/>
    </row>
    <row r="152" ht="15.75" customHeight="1">
      <c r="H152" s="2"/>
    </row>
    <row r="153" ht="15.75" customHeight="1">
      <c r="H153" s="2"/>
    </row>
    <row r="154" ht="15.75" customHeight="1">
      <c r="H154" s="2"/>
    </row>
    <row r="155" ht="15.75" customHeight="1">
      <c r="H155" s="2"/>
    </row>
    <row r="156" ht="15.75" customHeight="1">
      <c r="H156" s="2"/>
    </row>
    <row r="157" ht="15.75" customHeight="1">
      <c r="H157" s="2"/>
    </row>
    <row r="158" ht="15.75" customHeight="1">
      <c r="H158" s="2"/>
    </row>
    <row r="159" ht="15.75" customHeight="1">
      <c r="H159" s="2"/>
    </row>
    <row r="160" ht="15.75" customHeight="1">
      <c r="H160" s="2"/>
    </row>
    <row r="161" ht="15.75" customHeight="1">
      <c r="H161" s="2"/>
    </row>
    <row r="162" ht="15.75" customHeight="1">
      <c r="H162" s="2"/>
    </row>
    <row r="163" ht="15.75" customHeight="1">
      <c r="H163" s="2"/>
    </row>
    <row r="164" ht="15.75" customHeight="1">
      <c r="H164" s="2"/>
    </row>
    <row r="165" ht="15.75" customHeight="1">
      <c r="H165" s="2"/>
    </row>
    <row r="166" ht="15.75" customHeight="1">
      <c r="H166" s="2"/>
    </row>
    <row r="167" ht="15.75" customHeight="1">
      <c r="H167" s="2"/>
    </row>
    <row r="168" ht="15.75" customHeight="1">
      <c r="H168" s="2"/>
    </row>
    <row r="169" ht="15.75" customHeight="1">
      <c r="H169" s="2"/>
    </row>
    <row r="170" ht="15.75" customHeight="1">
      <c r="H170" s="2"/>
    </row>
    <row r="171" ht="15.75" customHeight="1">
      <c r="H171" s="2"/>
    </row>
    <row r="172" ht="15.75" customHeight="1">
      <c r="H172" s="2"/>
    </row>
    <row r="173" ht="15.75" customHeight="1">
      <c r="H173" s="2"/>
    </row>
    <row r="174" ht="15.75" customHeight="1">
      <c r="H174" s="2"/>
    </row>
    <row r="175" ht="15.75" customHeight="1">
      <c r="H175" s="2"/>
    </row>
    <row r="176" ht="15.75" customHeight="1">
      <c r="H176" s="2"/>
    </row>
    <row r="177" ht="15.75" customHeight="1">
      <c r="H177" s="2"/>
    </row>
    <row r="178" ht="15.75" customHeight="1">
      <c r="H178" s="2"/>
    </row>
    <row r="179" ht="15.75" customHeight="1">
      <c r="H179" s="2"/>
    </row>
    <row r="180" ht="15.75" customHeight="1">
      <c r="H180" s="2"/>
    </row>
    <row r="181" ht="15.75" customHeight="1">
      <c r="H181" s="2"/>
    </row>
    <row r="182" ht="15.75" customHeight="1">
      <c r="H182" s="2"/>
    </row>
    <row r="183" ht="15.75" customHeight="1">
      <c r="H183" s="2"/>
    </row>
    <row r="184" ht="15.75" customHeight="1">
      <c r="H184" s="2"/>
    </row>
    <row r="185" ht="15.75" customHeight="1">
      <c r="H185" s="2"/>
    </row>
    <row r="186" ht="15.75" customHeight="1">
      <c r="H186" s="2"/>
    </row>
    <row r="187" ht="15.75" customHeight="1">
      <c r="H187" s="2"/>
    </row>
    <row r="188" ht="15.75" customHeight="1">
      <c r="H188" s="2"/>
    </row>
    <row r="189" ht="15.75" customHeight="1">
      <c r="H189" s="2"/>
    </row>
    <row r="190" ht="15.75" customHeight="1">
      <c r="H190" s="2"/>
    </row>
    <row r="191" ht="15.75" customHeight="1">
      <c r="H191" s="2"/>
    </row>
    <row r="192" ht="15.75" customHeight="1">
      <c r="H192" s="2"/>
    </row>
    <row r="193" ht="15.75" customHeight="1">
      <c r="H193" s="2"/>
    </row>
    <row r="194" ht="15.75" customHeight="1">
      <c r="H194" s="2"/>
    </row>
    <row r="195" ht="15.75" customHeight="1">
      <c r="H195" s="2"/>
    </row>
    <row r="196" ht="15.75" customHeight="1">
      <c r="H196" s="2"/>
    </row>
    <row r="197" ht="15.75" customHeight="1">
      <c r="H197" s="2"/>
    </row>
    <row r="198" ht="15.75" customHeight="1">
      <c r="H198" s="2"/>
    </row>
    <row r="199" ht="15.75" customHeight="1">
      <c r="H199" s="2"/>
    </row>
    <row r="200" ht="15.75" customHeight="1">
      <c r="H200" s="2"/>
    </row>
    <row r="201" ht="15.75" customHeight="1">
      <c r="H201" s="2"/>
    </row>
    <row r="202" ht="15.75" customHeight="1">
      <c r="H202" s="2"/>
    </row>
    <row r="203" ht="15.75" customHeight="1">
      <c r="H203" s="2"/>
    </row>
    <row r="204" ht="15.75" customHeight="1">
      <c r="H204" s="2"/>
    </row>
    <row r="205" ht="15.75" customHeight="1">
      <c r="H205" s="2"/>
    </row>
    <row r="206" ht="15.75" customHeight="1">
      <c r="H206" s="2"/>
    </row>
    <row r="207" ht="15.75" customHeight="1">
      <c r="H207" s="2"/>
    </row>
    <row r="208" ht="15.75" customHeight="1">
      <c r="H208" s="2"/>
    </row>
    <row r="209" ht="15.75" customHeight="1">
      <c r="H209" s="2"/>
    </row>
    <row r="210" ht="15.75" customHeight="1">
      <c r="H210" s="2"/>
    </row>
    <row r="211" ht="15.75" customHeight="1">
      <c r="H211" s="2"/>
    </row>
    <row r="212" ht="15.75" customHeight="1">
      <c r="H212" s="2"/>
    </row>
    <row r="213" ht="15.75" customHeight="1">
      <c r="H213" s="2"/>
    </row>
    <row r="214" ht="15.75" customHeight="1">
      <c r="H214" s="2"/>
    </row>
    <row r="215" ht="15.75" customHeight="1">
      <c r="H215" s="2"/>
    </row>
    <row r="216" ht="15.75" customHeight="1">
      <c r="H216" s="2"/>
    </row>
    <row r="217" ht="15.75" customHeight="1">
      <c r="H217" s="2"/>
    </row>
    <row r="218" ht="15.75" customHeight="1">
      <c r="H218" s="2"/>
    </row>
    <row r="219" ht="15.75" customHeight="1">
      <c r="H219" s="2"/>
    </row>
    <row r="220" ht="15.75" customHeight="1">
      <c r="H220" s="2"/>
    </row>
    <row r="221" ht="15.75" customHeight="1">
      <c r="H221" s="53"/>
    </row>
    <row r="222" ht="15.75" customHeight="1">
      <c r="H222" s="53"/>
    </row>
    <row r="223" ht="15.75" customHeight="1">
      <c r="H223" s="53"/>
    </row>
    <row r="224" ht="15.75" customHeight="1">
      <c r="H224" s="53"/>
    </row>
    <row r="225" ht="15.75" customHeight="1">
      <c r="H225" s="53"/>
    </row>
    <row r="226" ht="15.75" customHeight="1">
      <c r="H226" s="53"/>
    </row>
    <row r="227" ht="15.75" customHeight="1">
      <c r="H227" s="53"/>
    </row>
    <row r="228" ht="15.75" customHeight="1">
      <c r="H228" s="53"/>
    </row>
    <row r="229" ht="15.75" customHeight="1">
      <c r="H229" s="53"/>
    </row>
    <row r="230" ht="15.75" customHeight="1">
      <c r="H230" s="53"/>
    </row>
    <row r="231" ht="15.75" customHeight="1">
      <c r="H231" s="53"/>
    </row>
    <row r="232" ht="15.75" customHeight="1">
      <c r="H232" s="53"/>
    </row>
    <row r="233" ht="15.75" customHeight="1">
      <c r="H233" s="53"/>
    </row>
    <row r="234" ht="15.75" customHeight="1">
      <c r="H234" s="53"/>
    </row>
    <row r="235" ht="15.75" customHeight="1">
      <c r="H235" s="53"/>
    </row>
    <row r="236" ht="15.75" customHeight="1">
      <c r="H236" s="53"/>
    </row>
    <row r="237" ht="15.75" customHeight="1">
      <c r="H237" s="53"/>
    </row>
    <row r="238" ht="15.75" customHeight="1">
      <c r="H238" s="53"/>
    </row>
    <row r="239" ht="15.75" customHeight="1">
      <c r="H239" s="53"/>
    </row>
    <row r="240" ht="15.75" customHeight="1">
      <c r="H240" s="53"/>
    </row>
    <row r="241" ht="15.75" customHeight="1">
      <c r="H241" s="53"/>
    </row>
    <row r="242" ht="15.75" customHeight="1">
      <c r="H242" s="53"/>
    </row>
    <row r="243" ht="15.75" customHeight="1">
      <c r="H243" s="53"/>
    </row>
    <row r="244" ht="15.75" customHeight="1">
      <c r="H244" s="53"/>
    </row>
    <row r="245" ht="15.75" customHeight="1">
      <c r="H245" s="53"/>
    </row>
    <row r="246" ht="15.75" customHeight="1">
      <c r="H246" s="53"/>
    </row>
    <row r="247" ht="15.75" customHeight="1">
      <c r="H247" s="53"/>
    </row>
    <row r="248" ht="15.75" customHeight="1">
      <c r="H248" s="53"/>
    </row>
    <row r="249" ht="15.75" customHeight="1">
      <c r="H249" s="53"/>
    </row>
    <row r="250" ht="15.75" customHeight="1">
      <c r="H250" s="5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7"/>
  <mergeCells count="2">
    <mergeCell ref="A1:J1"/>
    <mergeCell ref="A2:J2"/>
  </mergeCells>
  <conditionalFormatting sqref="H4:H1000">
    <cfRule type="cellIs" dxfId="2" priority="1" stopIfTrue="1" operator="equal">
      <formula>"Complete"</formula>
    </cfRule>
  </conditionalFormatting>
  <conditionalFormatting sqref="H4:H1000">
    <cfRule type="cellIs" dxfId="0" priority="2" stopIfTrue="1" operator="equal">
      <formula>"In Progress"</formula>
    </cfRule>
  </conditionalFormatting>
  <conditionalFormatting sqref="H4:H1000">
    <cfRule type="cellIs" dxfId="3" priority="3" stopIfTrue="1" operator="equal">
      <formula>"Deferred"</formula>
    </cfRule>
  </conditionalFormatting>
  <dataValidations>
    <dataValidation type="list" allowBlank="1" showErrorMessage="1" sqref="H4:H250">
      <formula1>Lists!$D$4:$D$7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8.88"/>
    <col customWidth="1" min="3" max="3" width="15.13"/>
    <col customWidth="1" min="4" max="4" width="18.88"/>
    <col customWidth="1" min="5" max="5" width="15.13"/>
    <col customWidth="1" min="6" max="6" width="12.63"/>
  </cols>
  <sheetData>
    <row r="1" ht="15.75" customHeight="1">
      <c r="A1" s="1" t="s">
        <v>248</v>
      </c>
    </row>
    <row r="2" ht="15.75" customHeight="1">
      <c r="A2" s="3" t="s">
        <v>249</v>
      </c>
    </row>
    <row r="3" ht="15.75" customHeight="1">
      <c r="A3" s="47" t="s">
        <v>9</v>
      </c>
      <c r="B3" s="47" t="s">
        <v>250</v>
      </c>
      <c r="C3" s="47" t="s">
        <v>21</v>
      </c>
      <c r="D3" s="47" t="s">
        <v>252</v>
      </c>
      <c r="E3" s="47" t="s">
        <v>37</v>
      </c>
    </row>
    <row r="4" ht="15.75" customHeight="1">
      <c r="A4" s="50" t="s">
        <v>56</v>
      </c>
      <c r="B4" s="50" t="s">
        <v>41</v>
      </c>
      <c r="C4" s="50" t="s">
        <v>59</v>
      </c>
      <c r="D4" s="50" t="s">
        <v>96</v>
      </c>
      <c r="E4" s="50" t="s">
        <v>253</v>
      </c>
    </row>
    <row r="5" ht="15.75" customHeight="1">
      <c r="A5" s="50" t="s">
        <v>40</v>
      </c>
      <c r="B5" s="50" t="s">
        <v>43</v>
      </c>
      <c r="C5" s="50" t="s">
        <v>55</v>
      </c>
      <c r="D5" s="50" t="s">
        <v>200</v>
      </c>
      <c r="E5" s="50" t="s">
        <v>254</v>
      </c>
    </row>
    <row r="6" ht="15.75" customHeight="1">
      <c r="A6" s="50" t="s">
        <v>255</v>
      </c>
      <c r="B6" s="50" t="s">
        <v>42</v>
      </c>
      <c r="C6" s="50" t="s">
        <v>45</v>
      </c>
      <c r="D6" s="50" t="s">
        <v>155</v>
      </c>
      <c r="E6" s="50"/>
    </row>
    <row r="7" ht="15.75" customHeight="1">
      <c r="A7" s="50"/>
      <c r="B7" s="50"/>
      <c r="C7" s="50" t="s">
        <v>48</v>
      </c>
      <c r="D7" s="50" t="s">
        <v>256</v>
      </c>
      <c r="E7" s="50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21.38"/>
    <col customWidth="1" min="2" max="2" width="28.88"/>
    <col customWidth="1" min="3" max="3" width="11.38"/>
    <col customWidth="1" min="4" max="4" width="28.88"/>
    <col customWidth="1" min="5" max="5" width="22.63"/>
    <col customWidth="1" min="6" max="6" width="12.63"/>
  </cols>
  <sheetData>
    <row r="1" ht="21.0" customHeight="1">
      <c r="A1" s="1" t="s">
        <v>264</v>
      </c>
    </row>
    <row r="2" ht="31.5" hidden="1" customHeight="1">
      <c r="A2" s="3" t="s">
        <v>265</v>
      </c>
    </row>
    <row r="3" ht="15.75" hidden="1" customHeight="1"/>
    <row r="4" ht="18.0" customHeight="1">
      <c r="A4" s="59" t="s">
        <v>5</v>
      </c>
      <c r="B4" s="60"/>
      <c r="C4" s="61"/>
      <c r="D4" s="59" t="s">
        <v>267</v>
      </c>
      <c r="E4" s="50"/>
    </row>
    <row r="5" ht="18.0" customHeight="1">
      <c r="A5" s="59" t="s">
        <v>268</v>
      </c>
      <c r="B5" s="60"/>
      <c r="C5" s="61"/>
      <c r="D5" s="59" t="s">
        <v>269</v>
      </c>
      <c r="E5" s="50"/>
    </row>
    <row r="6" ht="18.0" customHeight="1">
      <c r="A6" s="59" t="s">
        <v>271</v>
      </c>
      <c r="B6" s="60"/>
      <c r="C6" s="61"/>
      <c r="D6" s="59" t="s">
        <v>272</v>
      </c>
      <c r="E6" s="50"/>
    </row>
    <row r="7" ht="18.0" customHeight="1">
      <c r="A7" s="59" t="s">
        <v>273</v>
      </c>
      <c r="B7" s="60"/>
      <c r="C7" s="61"/>
      <c r="D7" s="59" t="s">
        <v>274</v>
      </c>
      <c r="E7" s="50"/>
    </row>
    <row r="8" ht="15.75" customHeight="1"/>
    <row r="9" ht="21.0" customHeight="1">
      <c r="A9" s="47" t="s">
        <v>276</v>
      </c>
      <c r="B9" s="47" t="s">
        <v>277</v>
      </c>
      <c r="C9" s="47" t="s">
        <v>278</v>
      </c>
      <c r="D9" s="47" t="s">
        <v>279</v>
      </c>
      <c r="E9" s="47" t="s">
        <v>280</v>
      </c>
    </row>
    <row r="10" ht="19.5" customHeight="1">
      <c r="A10" s="64" t="s">
        <v>281</v>
      </c>
      <c r="B10" s="65"/>
      <c r="C10" s="65"/>
      <c r="D10" s="65"/>
      <c r="E10" s="61"/>
    </row>
    <row r="11" ht="15.75" customHeight="1">
      <c r="A11" s="50" t="s">
        <v>283</v>
      </c>
      <c r="B11" s="50" t="s">
        <v>284</v>
      </c>
      <c r="C11" s="48"/>
      <c r="D11" s="50"/>
      <c r="E11" s="50"/>
    </row>
    <row r="12" ht="15.75" customHeight="1">
      <c r="A12" s="50" t="s">
        <v>285</v>
      </c>
      <c r="B12" s="50" t="s">
        <v>286</v>
      </c>
      <c r="C12" s="48"/>
      <c r="D12" s="50"/>
      <c r="E12" s="50"/>
    </row>
    <row r="13" ht="15.75" customHeight="1">
      <c r="A13" s="50" t="s">
        <v>287</v>
      </c>
      <c r="B13" s="50" t="s">
        <v>288</v>
      </c>
      <c r="C13" s="48"/>
      <c r="D13" s="50"/>
      <c r="E13" s="50"/>
    </row>
    <row r="14" ht="15.75" customHeight="1">
      <c r="A14" s="50" t="s">
        <v>289</v>
      </c>
      <c r="B14" s="50" t="s">
        <v>290</v>
      </c>
      <c r="C14" s="48"/>
      <c r="D14" s="50"/>
      <c r="E14" s="50"/>
    </row>
    <row r="15" ht="15.75" customHeight="1">
      <c r="A15" s="50" t="s">
        <v>291</v>
      </c>
      <c r="B15" s="50" t="s">
        <v>292</v>
      </c>
      <c r="C15" s="48"/>
      <c r="D15" s="50"/>
      <c r="E15" s="50"/>
    </row>
    <row r="16" ht="15.75" customHeight="1">
      <c r="A16" s="50" t="s">
        <v>293</v>
      </c>
      <c r="B16" s="50" t="s">
        <v>294</v>
      </c>
      <c r="C16" s="48"/>
      <c r="D16" s="50"/>
      <c r="E16" s="50"/>
    </row>
    <row r="17" ht="19.5" customHeight="1">
      <c r="A17" s="64" t="s">
        <v>295</v>
      </c>
      <c r="B17" s="65"/>
      <c r="C17" s="65"/>
      <c r="D17" s="65"/>
      <c r="E17" s="61"/>
    </row>
    <row r="18" ht="15.75" customHeight="1">
      <c r="A18" s="50" t="s">
        <v>296</v>
      </c>
      <c r="B18" s="50" t="s">
        <v>297</v>
      </c>
      <c r="C18" s="48"/>
      <c r="D18" s="50"/>
      <c r="E18" s="50"/>
    </row>
    <row r="19" ht="15.75" customHeight="1">
      <c r="A19" s="50" t="s">
        <v>298</v>
      </c>
      <c r="B19" s="50" t="s">
        <v>299</v>
      </c>
      <c r="C19" s="48"/>
      <c r="D19" s="50"/>
      <c r="E19" s="50"/>
    </row>
    <row r="20" ht="15.75" customHeight="1">
      <c r="A20" s="50" t="s">
        <v>300</v>
      </c>
      <c r="B20" s="50" t="s">
        <v>301</v>
      </c>
      <c r="C20" s="48"/>
      <c r="D20" s="50"/>
      <c r="E20" s="50"/>
    </row>
    <row r="21" ht="15.75" customHeight="1">
      <c r="A21" s="50" t="s">
        <v>302</v>
      </c>
      <c r="B21" s="50" t="s">
        <v>303</v>
      </c>
      <c r="C21" s="48"/>
      <c r="D21" s="50"/>
      <c r="E21" s="50"/>
    </row>
    <row r="22" ht="15.75" customHeight="1">
      <c r="A22" s="50" t="s">
        <v>304</v>
      </c>
      <c r="B22" s="50" t="s">
        <v>305</v>
      </c>
      <c r="C22" s="48"/>
      <c r="D22" s="50"/>
      <c r="E22" s="50"/>
    </row>
    <row r="23" ht="19.5" customHeight="1">
      <c r="A23" s="64" t="s">
        <v>306</v>
      </c>
      <c r="B23" s="65"/>
      <c r="C23" s="65"/>
      <c r="D23" s="65"/>
      <c r="E23" s="61"/>
    </row>
    <row r="24" ht="15.75" customHeight="1">
      <c r="A24" s="50" t="s">
        <v>307</v>
      </c>
      <c r="B24" s="50" t="s">
        <v>308</v>
      </c>
      <c r="C24" s="48"/>
      <c r="D24" s="50"/>
      <c r="E24" s="50"/>
    </row>
    <row r="25" ht="15.75" customHeight="1">
      <c r="A25" s="50" t="s">
        <v>309</v>
      </c>
      <c r="B25" s="50" t="s">
        <v>310</v>
      </c>
      <c r="C25" s="48"/>
      <c r="D25" s="50"/>
      <c r="E25" s="50"/>
    </row>
    <row r="26" ht="15.75" customHeight="1">
      <c r="A26" s="50" t="s">
        <v>311</v>
      </c>
      <c r="B26" s="50" t="s">
        <v>312</v>
      </c>
      <c r="C26" s="48"/>
      <c r="D26" s="50"/>
      <c r="E26" s="50"/>
    </row>
    <row r="27" ht="15.75" customHeight="1">
      <c r="A27" s="50" t="s">
        <v>313</v>
      </c>
      <c r="B27" s="50" t="s">
        <v>314</v>
      </c>
      <c r="C27" s="48"/>
      <c r="D27" s="50"/>
      <c r="E27" s="50"/>
    </row>
    <row r="28" ht="15.75" customHeight="1">
      <c r="A28" s="50" t="s">
        <v>315</v>
      </c>
      <c r="B28" s="50" t="s">
        <v>316</v>
      </c>
      <c r="C28" s="48"/>
      <c r="D28" s="50"/>
      <c r="E28" s="50"/>
    </row>
    <row r="29" ht="15.75" customHeight="1">
      <c r="A29" s="50" t="s">
        <v>317</v>
      </c>
      <c r="B29" s="50" t="s">
        <v>318</v>
      </c>
      <c r="C29" s="48"/>
      <c r="D29" s="50"/>
      <c r="E29" s="50"/>
    </row>
    <row r="30" ht="19.5" customHeight="1">
      <c r="A30" s="64" t="s">
        <v>319</v>
      </c>
      <c r="B30" s="65"/>
      <c r="C30" s="65"/>
      <c r="D30" s="65"/>
      <c r="E30" s="61"/>
    </row>
    <row r="31" ht="15.75" customHeight="1">
      <c r="A31" s="50" t="s">
        <v>320</v>
      </c>
      <c r="B31" s="50" t="s">
        <v>321</v>
      </c>
      <c r="C31" s="48"/>
      <c r="D31" s="50"/>
      <c r="E31" s="50"/>
    </row>
    <row r="32" ht="15.75" customHeight="1">
      <c r="A32" s="50" t="s">
        <v>322</v>
      </c>
      <c r="B32" s="50" t="s">
        <v>323</v>
      </c>
      <c r="C32" s="48"/>
      <c r="D32" s="50"/>
      <c r="E32" s="50"/>
    </row>
    <row r="33" ht="15.75" customHeight="1">
      <c r="A33" s="50" t="s">
        <v>324</v>
      </c>
      <c r="B33" s="50" t="s">
        <v>325</v>
      </c>
      <c r="C33" s="48"/>
      <c r="D33" s="50"/>
      <c r="E33" s="50"/>
    </row>
    <row r="34" ht="15.75" customHeight="1">
      <c r="A34" s="50" t="s">
        <v>326</v>
      </c>
      <c r="B34" s="50" t="s">
        <v>327</v>
      </c>
      <c r="C34" s="48"/>
      <c r="D34" s="50"/>
      <c r="E34" s="50"/>
    </row>
    <row r="35" ht="15.75" customHeight="1">
      <c r="A35" s="50" t="s">
        <v>328</v>
      </c>
      <c r="B35" s="50" t="s">
        <v>329</v>
      </c>
      <c r="C35" s="48"/>
      <c r="D35" s="50"/>
      <c r="E35" s="50"/>
    </row>
    <row r="36" ht="15.75" customHeight="1">
      <c r="A36" s="50" t="s">
        <v>330</v>
      </c>
      <c r="B36" s="50" t="s">
        <v>331</v>
      </c>
      <c r="C36" s="48"/>
      <c r="D36" s="50"/>
      <c r="E36" s="50"/>
    </row>
    <row r="37" ht="15.75" customHeight="1">
      <c r="A37" s="50" t="s">
        <v>332</v>
      </c>
      <c r="B37" s="50" t="s">
        <v>333</v>
      </c>
      <c r="C37" s="48"/>
      <c r="D37" s="50"/>
      <c r="E37" s="50"/>
    </row>
    <row r="38" ht="19.5" customHeight="1">
      <c r="A38" s="64" t="s">
        <v>335</v>
      </c>
      <c r="B38" s="65"/>
      <c r="C38" s="65"/>
      <c r="D38" s="65"/>
      <c r="E38" s="61"/>
    </row>
    <row r="39" ht="15.75" customHeight="1">
      <c r="A39" s="50" t="s">
        <v>336</v>
      </c>
      <c r="B39" s="50" t="s">
        <v>338</v>
      </c>
      <c r="C39" s="48"/>
      <c r="D39" s="50"/>
      <c r="E39" s="50"/>
    </row>
    <row r="40" ht="15.75" customHeight="1">
      <c r="A40" s="50" t="s">
        <v>340</v>
      </c>
      <c r="B40" s="50" t="s">
        <v>341</v>
      </c>
      <c r="C40" s="48"/>
      <c r="D40" s="50"/>
      <c r="E40" s="50"/>
    </row>
    <row r="41" ht="15.75" customHeight="1">
      <c r="A41" s="50" t="s">
        <v>343</v>
      </c>
      <c r="B41" s="50" t="s">
        <v>345</v>
      </c>
      <c r="C41" s="48"/>
      <c r="D41" s="50"/>
      <c r="E41" s="50"/>
    </row>
    <row r="42" ht="15.75" customHeight="1">
      <c r="A42" s="50" t="s">
        <v>347</v>
      </c>
      <c r="B42" s="50" t="s">
        <v>348</v>
      </c>
      <c r="C42" s="48"/>
      <c r="D42" s="50"/>
      <c r="E42" s="50"/>
    </row>
    <row r="43" ht="15.75" customHeight="1">
      <c r="A43" s="50" t="s">
        <v>349</v>
      </c>
      <c r="B43" s="50" t="s">
        <v>350</v>
      </c>
      <c r="C43" s="48"/>
      <c r="D43" s="50"/>
      <c r="E43" s="50"/>
    </row>
    <row r="44" ht="19.5" customHeight="1">
      <c r="A44" s="64" t="s">
        <v>352</v>
      </c>
      <c r="B44" s="65"/>
      <c r="C44" s="65"/>
      <c r="D44" s="65"/>
      <c r="E44" s="61"/>
    </row>
    <row r="45" ht="15.75" customHeight="1">
      <c r="A45" s="50" t="s">
        <v>353</v>
      </c>
      <c r="B45" s="50" t="s">
        <v>355</v>
      </c>
      <c r="C45" s="48"/>
      <c r="D45" s="50"/>
      <c r="E45" s="50"/>
    </row>
    <row r="46" ht="15.75" customHeight="1">
      <c r="A46" s="50" t="s">
        <v>356</v>
      </c>
      <c r="B46" s="50" t="s">
        <v>357</v>
      </c>
      <c r="C46" s="48"/>
      <c r="D46" s="50"/>
      <c r="E46" s="50"/>
    </row>
    <row r="47" ht="15.75" customHeight="1">
      <c r="A47" s="50" t="s">
        <v>359</v>
      </c>
      <c r="B47" s="50" t="s">
        <v>360</v>
      </c>
      <c r="C47" s="48"/>
      <c r="D47" s="50"/>
      <c r="E47" s="50"/>
    </row>
    <row r="48" ht="15.75" customHeight="1">
      <c r="A48" s="50" t="s">
        <v>362</v>
      </c>
      <c r="B48" s="50" t="s">
        <v>363</v>
      </c>
      <c r="C48" s="48"/>
      <c r="D48" s="50"/>
      <c r="E48" s="50"/>
    </row>
    <row r="49" ht="15.75" customHeight="1">
      <c r="A49" s="50" t="s">
        <v>364</v>
      </c>
      <c r="B49" s="50" t="s">
        <v>366</v>
      </c>
      <c r="C49" s="48"/>
      <c r="D49" s="50"/>
      <c r="E49" s="50"/>
    </row>
    <row r="50" ht="19.5" customHeight="1">
      <c r="A50" s="64" t="s">
        <v>368</v>
      </c>
      <c r="B50" s="65"/>
      <c r="C50" s="65"/>
      <c r="D50" s="65"/>
      <c r="E50" s="61"/>
    </row>
    <row r="51" ht="15.75" customHeight="1">
      <c r="A51" s="50" t="s">
        <v>370</v>
      </c>
      <c r="B51" s="50" t="s">
        <v>372</v>
      </c>
      <c r="C51" s="48"/>
      <c r="D51" s="50"/>
      <c r="E51" s="50"/>
    </row>
    <row r="52" ht="15.75" customHeight="1">
      <c r="A52" s="50" t="s">
        <v>375</v>
      </c>
      <c r="B52" s="50" t="s">
        <v>376</v>
      </c>
      <c r="C52" s="48"/>
      <c r="D52" s="50"/>
      <c r="E52" s="50"/>
    </row>
    <row r="53" ht="15.75" customHeight="1">
      <c r="A53" s="50" t="s">
        <v>377</v>
      </c>
      <c r="B53" s="50" t="s">
        <v>379</v>
      </c>
      <c r="C53" s="48"/>
      <c r="D53" s="50"/>
      <c r="E53" s="50"/>
    </row>
    <row r="54" ht="15.75" customHeight="1">
      <c r="A54" s="50" t="s">
        <v>382</v>
      </c>
      <c r="B54" s="50" t="s">
        <v>383</v>
      </c>
      <c r="C54" s="48"/>
      <c r="D54" s="50"/>
      <c r="E54" s="50"/>
    </row>
    <row r="55" ht="15.75" customHeight="1">
      <c r="A55" s="50" t="s">
        <v>385</v>
      </c>
      <c r="B55" s="50" t="s">
        <v>386</v>
      </c>
      <c r="C55" s="48"/>
      <c r="D55" s="50"/>
      <c r="E55" s="50"/>
    </row>
    <row r="56" ht="15.75" customHeight="1">
      <c r="A56" s="50" t="s">
        <v>389</v>
      </c>
      <c r="B56" s="50" t="s">
        <v>390</v>
      </c>
      <c r="C56" s="48"/>
      <c r="D56" s="50"/>
      <c r="E56" s="50"/>
    </row>
    <row r="57" ht="19.5" customHeight="1">
      <c r="A57" s="64" t="s">
        <v>391</v>
      </c>
      <c r="B57" s="65"/>
      <c r="C57" s="65"/>
      <c r="D57" s="65"/>
      <c r="E57" s="61"/>
    </row>
    <row r="58" ht="15.75" customHeight="1">
      <c r="A58" s="50" t="s">
        <v>395</v>
      </c>
      <c r="B58" s="50" t="s">
        <v>396</v>
      </c>
      <c r="C58" s="48"/>
      <c r="D58" s="50"/>
      <c r="E58" s="50"/>
    </row>
    <row r="59" ht="15.75" customHeight="1">
      <c r="A59" s="50" t="s">
        <v>400</v>
      </c>
      <c r="B59" s="50" t="s">
        <v>402</v>
      </c>
      <c r="C59" s="48"/>
      <c r="D59" s="50"/>
      <c r="E59" s="50"/>
    </row>
    <row r="60" ht="15.75" customHeight="1">
      <c r="A60" s="50" t="s">
        <v>405</v>
      </c>
      <c r="B60" s="50" t="s">
        <v>406</v>
      </c>
      <c r="C60" s="48"/>
      <c r="D60" s="50"/>
      <c r="E60" s="50"/>
    </row>
    <row r="61" ht="15.75" customHeight="1">
      <c r="A61" s="50" t="s">
        <v>410</v>
      </c>
      <c r="B61" s="50" t="s">
        <v>412</v>
      </c>
      <c r="C61" s="48"/>
      <c r="D61" s="50"/>
      <c r="E61" s="50"/>
    </row>
    <row r="62" ht="15.75" customHeight="1">
      <c r="A62" s="50" t="s">
        <v>415</v>
      </c>
      <c r="B62" s="50" t="s">
        <v>416</v>
      </c>
      <c r="C62" s="48"/>
      <c r="D62" s="50"/>
      <c r="E62" s="50"/>
    </row>
    <row r="63" ht="19.5" customHeight="1">
      <c r="A63" s="64" t="s">
        <v>422</v>
      </c>
      <c r="B63" s="65"/>
      <c r="C63" s="65"/>
      <c r="D63" s="65"/>
      <c r="E63" s="61"/>
    </row>
    <row r="64" ht="15.75" customHeight="1">
      <c r="A64" s="50" t="s">
        <v>424</v>
      </c>
      <c r="B64" s="50" t="s">
        <v>427</v>
      </c>
      <c r="C64" s="48"/>
      <c r="D64" s="50"/>
      <c r="E64" s="50"/>
    </row>
    <row r="65" ht="15.75" customHeight="1">
      <c r="A65" s="50" t="s">
        <v>430</v>
      </c>
      <c r="B65" s="50" t="s">
        <v>432</v>
      </c>
      <c r="C65" s="48"/>
      <c r="D65" s="50"/>
      <c r="E65" s="50"/>
    </row>
    <row r="66" ht="15.75" customHeight="1">
      <c r="A66" s="50" t="s">
        <v>435</v>
      </c>
      <c r="B66" s="50" t="s">
        <v>437</v>
      </c>
      <c r="C66" s="48"/>
      <c r="D66" s="50"/>
      <c r="E66" s="50"/>
    </row>
    <row r="67" ht="15.75" customHeight="1">
      <c r="A67" s="50" t="s">
        <v>441</v>
      </c>
      <c r="B67" s="50" t="s">
        <v>443</v>
      </c>
      <c r="C67" s="48"/>
      <c r="D67" s="50"/>
      <c r="E67" s="50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7:E17"/>
    <mergeCell ref="A23:E23"/>
    <mergeCell ref="A30:E30"/>
    <mergeCell ref="A38:E38"/>
    <mergeCell ref="A44:E44"/>
    <mergeCell ref="A50:E50"/>
    <mergeCell ref="A57:E57"/>
    <mergeCell ref="A63:E63"/>
    <mergeCell ref="A1:E1"/>
    <mergeCell ref="A2:E2"/>
    <mergeCell ref="B4:C4"/>
    <mergeCell ref="B5:C5"/>
    <mergeCell ref="B6:C6"/>
    <mergeCell ref="B7:C7"/>
    <mergeCell ref="A10:E10"/>
  </mergeCells>
  <conditionalFormatting sqref="C10:C1000">
    <cfRule type="cellIs" dxfId="2" priority="1" stopIfTrue="1" operator="equal">
      <formula>"Pass"</formula>
    </cfRule>
  </conditionalFormatting>
  <conditionalFormatting sqref="C10:C1000">
    <cfRule type="cellIs" dxfId="0" priority="2" stopIfTrue="1" operator="equal">
      <formula>"Follow-Up"</formula>
    </cfRule>
  </conditionalFormatting>
  <conditionalFormatting sqref="C10:C1000">
    <cfRule type="cellIs" dxfId="3" priority="3" stopIfTrue="1" operator="equal">
      <formula>"Fail"</formula>
    </cfRule>
  </conditionalFormatting>
  <conditionalFormatting sqref="C10:C1000">
    <cfRule type="cellIs" dxfId="4" priority="4" stopIfTrue="1" operator="equal">
      <formula>"N/A"</formula>
    </cfRule>
  </conditionalFormatting>
  <dataValidations>
    <dataValidation type="list" allowBlank="1" showErrorMessage="1" sqref="C11:C16 C18:C22 C24:C29 C31:C37 C39:C43 C45:C49 C51:C56 C58:C62 C64:C67">
      <formula1>"Pass,Follow-Up,Fail,N/A"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8.5"/>
    <col customWidth="1" min="3" max="3" width="16.75"/>
    <col customWidth="1" min="4" max="4" width="15.0"/>
    <col customWidth="1" min="5" max="5" width="14.63"/>
    <col customWidth="1" min="6" max="6" width="2.88"/>
    <col customWidth="1" min="7" max="7" width="8.75"/>
    <col customWidth="1" min="8" max="8" width="18.5"/>
    <col customWidth="1" min="9" max="9" width="16.75"/>
    <col customWidth="1" min="10" max="10" width="15.0"/>
    <col customWidth="1" min="11" max="11" width="14.63"/>
    <col customWidth="1" min="12" max="26" width="7.63"/>
  </cols>
  <sheetData>
    <row r="1" ht="28.5" customHeight="1">
      <c r="A1" s="67"/>
      <c r="B1" s="68"/>
      <c r="C1" s="68"/>
      <c r="D1" s="68"/>
      <c r="E1" s="68"/>
      <c r="F1" s="68"/>
      <c r="G1" s="68"/>
      <c r="H1" s="68"/>
      <c r="I1" s="68"/>
      <c r="J1" s="68"/>
      <c r="K1" s="69"/>
    </row>
    <row r="2" ht="16.5" customHeight="1">
      <c r="A2" s="70" t="s">
        <v>334</v>
      </c>
      <c r="B2" s="68"/>
      <c r="C2" s="68"/>
      <c r="D2" s="68"/>
      <c r="E2" s="68"/>
      <c r="F2" s="69"/>
      <c r="G2" s="70" t="s">
        <v>337</v>
      </c>
      <c r="H2" s="68"/>
      <c r="I2" s="68"/>
      <c r="J2" s="68"/>
      <c r="K2" s="69"/>
    </row>
    <row r="3" ht="24.0" customHeight="1">
      <c r="A3" s="70" t="s">
        <v>339</v>
      </c>
      <c r="B3" s="68"/>
      <c r="C3" s="68"/>
      <c r="D3" s="68"/>
      <c r="E3" s="68"/>
      <c r="F3" s="69"/>
      <c r="G3" s="71" t="s">
        <v>342</v>
      </c>
      <c r="H3" s="68"/>
      <c r="I3" s="68"/>
      <c r="J3" s="68"/>
      <c r="K3" s="69"/>
    </row>
    <row r="4" ht="24.0" customHeight="1">
      <c r="A4" s="70" t="s">
        <v>344</v>
      </c>
      <c r="B4" s="68"/>
      <c r="C4" s="68"/>
      <c r="D4" s="68"/>
      <c r="E4" s="68"/>
      <c r="F4" s="69"/>
      <c r="G4" s="71" t="s">
        <v>346</v>
      </c>
      <c r="H4" s="68"/>
      <c r="I4" s="68"/>
      <c r="J4" s="68"/>
      <c r="K4" s="69"/>
    </row>
    <row r="5" ht="24.0" customHeight="1">
      <c r="A5" s="72"/>
      <c r="B5" s="73"/>
      <c r="C5" s="73"/>
      <c r="D5" s="73"/>
      <c r="E5" s="73"/>
      <c r="F5" s="74"/>
      <c r="G5" s="71" t="s">
        <v>351</v>
      </c>
      <c r="H5" s="68"/>
      <c r="I5" s="68"/>
      <c r="J5" s="68"/>
      <c r="K5" s="69"/>
    </row>
    <row r="6" ht="24.0" customHeight="1">
      <c r="A6" s="75"/>
      <c r="F6" s="76"/>
      <c r="G6" s="71" t="s">
        <v>354</v>
      </c>
      <c r="H6" s="68"/>
      <c r="I6" s="68"/>
      <c r="J6" s="68"/>
      <c r="K6" s="69"/>
    </row>
    <row r="7" ht="24.0" customHeight="1">
      <c r="A7" s="77"/>
      <c r="B7" s="78"/>
      <c r="C7" s="78"/>
      <c r="D7" s="78"/>
      <c r="E7" s="78"/>
      <c r="F7" s="79"/>
      <c r="G7" s="71" t="s">
        <v>358</v>
      </c>
      <c r="H7" s="68"/>
      <c r="I7" s="68"/>
      <c r="J7" s="68"/>
      <c r="K7" s="69"/>
    </row>
    <row r="8" ht="18.75" customHeight="1">
      <c r="A8" s="80" t="s">
        <v>361</v>
      </c>
      <c r="B8" s="68"/>
      <c r="C8" s="68"/>
      <c r="D8" s="68"/>
      <c r="E8" s="68"/>
      <c r="F8" s="68"/>
      <c r="G8" s="68"/>
      <c r="H8" s="68"/>
      <c r="I8" s="68"/>
      <c r="J8" s="68"/>
      <c r="K8" s="69"/>
    </row>
    <row r="9" ht="18.0" customHeight="1">
      <c r="A9" s="81"/>
      <c r="B9" s="82" t="s">
        <v>365</v>
      </c>
      <c r="C9" s="70" t="s">
        <v>367</v>
      </c>
      <c r="D9" s="69"/>
      <c r="E9" s="82" t="s">
        <v>369</v>
      </c>
      <c r="F9" s="81"/>
      <c r="G9" s="81"/>
      <c r="H9" s="82" t="s">
        <v>371</v>
      </c>
      <c r="I9" s="70" t="s">
        <v>373</v>
      </c>
      <c r="J9" s="69"/>
      <c r="K9" s="82" t="s">
        <v>374</v>
      </c>
    </row>
    <row r="10" ht="24.0" customHeight="1">
      <c r="A10" s="83">
        <v>101.0</v>
      </c>
      <c r="B10" s="84"/>
      <c r="C10" s="85" t="s">
        <v>378</v>
      </c>
      <c r="D10" s="86" t="s">
        <v>380</v>
      </c>
      <c r="E10" s="82" t="s">
        <v>381</v>
      </c>
      <c r="F10" s="84"/>
      <c r="G10" s="83">
        <v>307.0</v>
      </c>
      <c r="H10" s="84"/>
      <c r="I10" s="85" t="s">
        <v>384</v>
      </c>
      <c r="J10" s="86" t="s">
        <v>387</v>
      </c>
      <c r="K10" s="82" t="s">
        <v>388</v>
      </c>
    </row>
    <row r="11" ht="24.0" customHeight="1">
      <c r="A11" s="83">
        <v>102.0</v>
      </c>
      <c r="B11" s="84"/>
      <c r="C11" s="85" t="s">
        <v>392</v>
      </c>
      <c r="D11" s="86" t="s">
        <v>393</v>
      </c>
      <c r="E11" s="82" t="s">
        <v>394</v>
      </c>
      <c r="F11" s="84"/>
      <c r="G11" s="83">
        <v>308.0</v>
      </c>
      <c r="H11" s="84"/>
      <c r="I11" s="85" t="s">
        <v>397</v>
      </c>
      <c r="J11" s="86" t="s">
        <v>398</v>
      </c>
      <c r="K11" s="82" t="s">
        <v>399</v>
      </c>
    </row>
    <row r="12" ht="24.0" customHeight="1">
      <c r="A12" s="83">
        <v>103.0</v>
      </c>
      <c r="B12" s="84"/>
      <c r="C12" s="85" t="s">
        <v>401</v>
      </c>
      <c r="D12" s="86" t="s">
        <v>403</v>
      </c>
      <c r="E12" s="82" t="s">
        <v>404</v>
      </c>
      <c r="F12" s="84"/>
      <c r="G12" s="83">
        <v>309.0</v>
      </c>
      <c r="H12" s="84"/>
      <c r="I12" s="85" t="s">
        <v>407</v>
      </c>
      <c r="J12" s="86" t="s">
        <v>408</v>
      </c>
      <c r="K12" s="82" t="s">
        <v>409</v>
      </c>
    </row>
    <row r="13" ht="24.0" customHeight="1">
      <c r="A13" s="83">
        <v>104.0</v>
      </c>
      <c r="B13" s="84"/>
      <c r="C13" s="85" t="s">
        <v>411</v>
      </c>
      <c r="D13" s="86" t="s">
        <v>413</v>
      </c>
      <c r="E13" s="82" t="s">
        <v>414</v>
      </c>
      <c r="F13" s="84"/>
      <c r="G13" s="83">
        <v>310.0</v>
      </c>
      <c r="H13" s="84"/>
      <c r="I13" s="85" t="s">
        <v>417</v>
      </c>
      <c r="J13" s="86" t="s">
        <v>418</v>
      </c>
      <c r="K13" s="82" t="s">
        <v>419</v>
      </c>
    </row>
    <row r="14" ht="24.0" customHeight="1">
      <c r="A14" s="83">
        <v>105.0</v>
      </c>
      <c r="B14" s="84"/>
      <c r="C14" s="85" t="s">
        <v>420</v>
      </c>
      <c r="D14" s="86" t="s">
        <v>421</v>
      </c>
      <c r="E14" s="82" t="s">
        <v>423</v>
      </c>
      <c r="F14" s="84"/>
      <c r="G14" s="83">
        <v>311.0</v>
      </c>
      <c r="H14" s="84"/>
      <c r="I14" s="85" t="s">
        <v>425</v>
      </c>
      <c r="J14" s="86" t="s">
        <v>426</v>
      </c>
      <c r="K14" s="82" t="s">
        <v>428</v>
      </c>
    </row>
    <row r="15" ht="24.0" customHeight="1">
      <c r="A15" s="83">
        <v>106.0</v>
      </c>
      <c r="B15" s="84"/>
      <c r="C15" s="85" t="s">
        <v>429</v>
      </c>
      <c r="D15" s="86" t="s">
        <v>431</v>
      </c>
      <c r="E15" s="82" t="s">
        <v>433</v>
      </c>
      <c r="F15" s="84"/>
      <c r="G15" s="83">
        <v>313.0</v>
      </c>
      <c r="H15" s="84"/>
      <c r="I15" s="85" t="s">
        <v>434</v>
      </c>
      <c r="J15" s="86" t="s">
        <v>436</v>
      </c>
      <c r="K15" s="82" t="s">
        <v>438</v>
      </c>
    </row>
    <row r="16" ht="24.0" customHeight="1">
      <c r="A16" s="83">
        <v>107.0</v>
      </c>
      <c r="B16" s="84"/>
      <c r="C16" s="85" t="s">
        <v>439</v>
      </c>
      <c r="D16" s="86" t="s">
        <v>440</v>
      </c>
      <c r="E16" s="82" t="s">
        <v>442</v>
      </c>
      <c r="F16" s="84"/>
      <c r="G16" s="83">
        <v>314.0</v>
      </c>
      <c r="H16" s="84"/>
      <c r="I16" s="85" t="s">
        <v>444</v>
      </c>
      <c r="J16" s="86" t="s">
        <v>445</v>
      </c>
      <c r="K16" s="82" t="s">
        <v>446</v>
      </c>
    </row>
    <row r="17" ht="24.0" customHeight="1">
      <c r="A17" s="83">
        <v>121.0</v>
      </c>
      <c r="B17" s="84"/>
      <c r="C17" s="85" t="s">
        <v>447</v>
      </c>
      <c r="D17" s="86" t="s">
        <v>448</v>
      </c>
      <c r="E17" s="82" t="s">
        <v>449</v>
      </c>
      <c r="F17" s="84"/>
      <c r="G17" s="83">
        <v>315.0</v>
      </c>
      <c r="H17" s="84"/>
      <c r="I17" s="85" t="s">
        <v>450</v>
      </c>
      <c r="J17" s="86" t="s">
        <v>451</v>
      </c>
      <c r="K17" s="82" t="s">
        <v>452</v>
      </c>
    </row>
    <row r="18" ht="24.0" customHeight="1">
      <c r="A18" s="83">
        <v>201.0</v>
      </c>
      <c r="B18" s="84"/>
      <c r="C18" s="85" t="s">
        <v>453</v>
      </c>
      <c r="D18" s="86" t="s">
        <v>454</v>
      </c>
      <c r="E18" s="82" t="s">
        <v>455</v>
      </c>
      <c r="F18" s="84"/>
      <c r="G18" s="83">
        <v>316.0</v>
      </c>
      <c r="H18" s="84"/>
      <c r="I18" s="85" t="s">
        <v>456</v>
      </c>
      <c r="J18" s="86" t="s">
        <v>457</v>
      </c>
      <c r="K18" s="82" t="s">
        <v>458</v>
      </c>
    </row>
    <row r="19" ht="24.0" customHeight="1">
      <c r="A19" s="83">
        <v>202.0</v>
      </c>
      <c r="B19" s="84"/>
      <c r="C19" s="85" t="s">
        <v>459</v>
      </c>
      <c r="D19" s="86" t="s">
        <v>460</v>
      </c>
      <c r="E19" s="82" t="s">
        <v>461</v>
      </c>
      <c r="F19" s="84"/>
      <c r="G19" s="83">
        <v>317.0</v>
      </c>
      <c r="H19" s="84"/>
      <c r="I19" s="85" t="s">
        <v>462</v>
      </c>
      <c r="J19" s="86" t="s">
        <v>463</v>
      </c>
      <c r="K19" s="82" t="s">
        <v>464</v>
      </c>
    </row>
    <row r="20" ht="24.0" customHeight="1">
      <c r="A20" s="83">
        <v>203.0</v>
      </c>
      <c r="B20" s="84"/>
      <c r="C20" s="85" t="s">
        <v>465</v>
      </c>
      <c r="D20" s="86" t="s">
        <v>466</v>
      </c>
      <c r="E20" s="82" t="s">
        <v>467</v>
      </c>
      <c r="F20" s="84"/>
      <c r="G20" s="83">
        <v>318.0</v>
      </c>
      <c r="H20" s="84"/>
      <c r="I20" s="85" t="s">
        <v>468</v>
      </c>
      <c r="J20" s="86" t="s">
        <v>469</v>
      </c>
      <c r="K20" s="82" t="s">
        <v>470</v>
      </c>
    </row>
    <row r="21" ht="24.0" customHeight="1">
      <c r="A21" s="83">
        <v>204.0</v>
      </c>
      <c r="B21" s="84"/>
      <c r="C21" s="85" t="s">
        <v>471</v>
      </c>
      <c r="D21" s="86" t="s">
        <v>472</v>
      </c>
      <c r="E21" s="82" t="s">
        <v>473</v>
      </c>
      <c r="F21" s="84"/>
      <c r="G21" s="83">
        <v>319.0</v>
      </c>
      <c r="H21" s="84"/>
      <c r="I21" s="85" t="s">
        <v>474</v>
      </c>
      <c r="J21" s="86" t="s">
        <v>475</v>
      </c>
      <c r="K21" s="82" t="s">
        <v>476</v>
      </c>
    </row>
    <row r="22" ht="24.0" customHeight="1">
      <c r="A22" s="83">
        <v>205.0</v>
      </c>
      <c r="B22" s="84"/>
      <c r="C22" s="85" t="s">
        <v>477</v>
      </c>
      <c r="D22" s="86" t="s">
        <v>478</v>
      </c>
      <c r="E22" s="82" t="s">
        <v>479</v>
      </c>
      <c r="F22" s="84"/>
      <c r="G22" s="83">
        <v>321.0</v>
      </c>
      <c r="H22" s="84"/>
      <c r="I22" s="85" t="s">
        <v>480</v>
      </c>
      <c r="J22" s="86" t="s">
        <v>481</v>
      </c>
      <c r="K22" s="82" t="s">
        <v>482</v>
      </c>
    </row>
    <row r="23" ht="24.0" customHeight="1">
      <c r="A23" s="83">
        <v>206.0</v>
      </c>
      <c r="B23" s="84"/>
      <c r="C23" s="85" t="s">
        <v>483</v>
      </c>
      <c r="D23" s="86" t="s">
        <v>484</v>
      </c>
      <c r="E23" s="82" t="s">
        <v>485</v>
      </c>
      <c r="F23" s="84"/>
      <c r="G23" s="83">
        <v>401.0</v>
      </c>
      <c r="H23" s="84"/>
      <c r="I23" s="85" t="s">
        <v>486</v>
      </c>
      <c r="J23" s="86" t="s">
        <v>487</v>
      </c>
      <c r="K23" s="82" t="s">
        <v>488</v>
      </c>
    </row>
    <row r="24" ht="24.0" customHeight="1">
      <c r="A24" s="83">
        <v>207.0</v>
      </c>
      <c r="B24" s="84"/>
      <c r="C24" s="85" t="s">
        <v>489</v>
      </c>
      <c r="D24" s="86" t="s">
        <v>490</v>
      </c>
      <c r="E24" s="82" t="s">
        <v>491</v>
      </c>
      <c r="F24" s="84"/>
      <c r="G24" s="83">
        <v>402.0</v>
      </c>
      <c r="H24" s="84"/>
      <c r="I24" s="85" t="s">
        <v>492</v>
      </c>
      <c r="J24" s="86" t="s">
        <v>493</v>
      </c>
      <c r="K24" s="82" t="s">
        <v>494</v>
      </c>
    </row>
    <row r="25" ht="24.0" customHeight="1">
      <c r="A25" s="83">
        <v>208.0</v>
      </c>
      <c r="B25" s="84"/>
      <c r="C25" s="85" t="s">
        <v>495</v>
      </c>
      <c r="D25" s="86" t="s">
        <v>496</v>
      </c>
      <c r="E25" s="82" t="s">
        <v>497</v>
      </c>
      <c r="F25" s="84"/>
      <c r="G25" s="83">
        <v>403.0</v>
      </c>
      <c r="H25" s="84"/>
      <c r="I25" s="85" t="s">
        <v>498</v>
      </c>
      <c r="J25" s="86" t="s">
        <v>499</v>
      </c>
      <c r="K25" s="82" t="s">
        <v>500</v>
      </c>
    </row>
    <row r="26" ht="24.0" customHeight="1">
      <c r="A26" s="83">
        <v>209.0</v>
      </c>
      <c r="B26" s="84"/>
      <c r="C26" s="85" t="s">
        <v>501</v>
      </c>
      <c r="D26" s="86" t="s">
        <v>502</v>
      </c>
      <c r="E26" s="82" t="s">
        <v>503</v>
      </c>
      <c r="F26" s="84"/>
      <c r="G26" s="83">
        <v>404.0</v>
      </c>
      <c r="H26" s="84"/>
      <c r="I26" s="85" t="s">
        <v>504</v>
      </c>
      <c r="J26" s="86" t="s">
        <v>505</v>
      </c>
      <c r="K26" s="82" t="s">
        <v>506</v>
      </c>
    </row>
    <row r="27" ht="24.0" customHeight="1">
      <c r="A27" s="83">
        <v>210.0</v>
      </c>
      <c r="B27" s="84"/>
      <c r="C27" s="85" t="s">
        <v>507</v>
      </c>
      <c r="D27" s="86" t="s">
        <v>508</v>
      </c>
      <c r="E27" s="82" t="s">
        <v>509</v>
      </c>
      <c r="F27" s="84"/>
      <c r="G27" s="83">
        <v>405.0</v>
      </c>
      <c r="H27" s="84"/>
      <c r="I27" s="85" t="s">
        <v>510</v>
      </c>
      <c r="J27" s="86" t="s">
        <v>511</v>
      </c>
      <c r="K27" s="82" t="s">
        <v>512</v>
      </c>
    </row>
    <row r="28" ht="24.0" customHeight="1">
      <c r="A28" s="83">
        <v>211.0</v>
      </c>
      <c r="B28" s="84"/>
      <c r="C28" s="85" t="s">
        <v>513</v>
      </c>
      <c r="D28" s="86" t="s">
        <v>514</v>
      </c>
      <c r="E28" s="82" t="s">
        <v>515</v>
      </c>
      <c r="F28" s="84"/>
      <c r="G28" s="83">
        <v>406.0</v>
      </c>
      <c r="H28" s="84"/>
      <c r="I28" s="85" t="s">
        <v>516</v>
      </c>
      <c r="J28" s="86" t="s">
        <v>517</v>
      </c>
      <c r="K28" s="82" t="s">
        <v>518</v>
      </c>
    </row>
    <row r="29" ht="24.0" customHeight="1">
      <c r="A29" s="83">
        <v>213.0</v>
      </c>
      <c r="B29" s="84"/>
      <c r="C29" s="85" t="s">
        <v>519</v>
      </c>
      <c r="D29" s="86" t="s">
        <v>520</v>
      </c>
      <c r="E29" s="82" t="s">
        <v>521</v>
      </c>
      <c r="F29" s="84"/>
      <c r="G29" s="83">
        <v>407.0</v>
      </c>
      <c r="H29" s="84"/>
      <c r="I29" s="85" t="s">
        <v>522</v>
      </c>
      <c r="J29" s="86" t="s">
        <v>523</v>
      </c>
      <c r="K29" s="82" t="s">
        <v>524</v>
      </c>
    </row>
    <row r="30" ht="24.0" customHeight="1">
      <c r="A30" s="83">
        <v>214.0</v>
      </c>
      <c r="B30" s="84"/>
      <c r="C30" s="85" t="s">
        <v>525</v>
      </c>
      <c r="D30" s="86" t="s">
        <v>526</v>
      </c>
      <c r="E30" s="82" t="s">
        <v>527</v>
      </c>
      <c r="F30" s="84"/>
      <c r="G30" s="83">
        <v>408.0</v>
      </c>
      <c r="H30" s="84"/>
      <c r="I30" s="85" t="s">
        <v>528</v>
      </c>
      <c r="J30" s="86" t="s">
        <v>529</v>
      </c>
      <c r="K30" s="82" t="s">
        <v>530</v>
      </c>
    </row>
    <row r="31" ht="24.0" customHeight="1">
      <c r="A31" s="83">
        <v>215.0</v>
      </c>
      <c r="B31" s="84"/>
      <c r="C31" s="85" t="s">
        <v>531</v>
      </c>
      <c r="D31" s="86" t="s">
        <v>532</v>
      </c>
      <c r="E31" s="82" t="s">
        <v>533</v>
      </c>
      <c r="F31" s="84"/>
      <c r="G31" s="83">
        <v>409.0</v>
      </c>
      <c r="H31" s="84"/>
      <c r="I31" s="85" t="s">
        <v>534</v>
      </c>
      <c r="J31" s="86" t="s">
        <v>535</v>
      </c>
      <c r="K31" s="82" t="s">
        <v>536</v>
      </c>
    </row>
    <row r="32" ht="24.0" customHeight="1">
      <c r="A32" s="83">
        <v>216.0</v>
      </c>
      <c r="B32" s="84"/>
      <c r="C32" s="85" t="s">
        <v>537</v>
      </c>
      <c r="D32" s="86" t="s">
        <v>538</v>
      </c>
      <c r="E32" s="82" t="s">
        <v>539</v>
      </c>
      <c r="F32" s="84"/>
      <c r="G32" s="83">
        <v>410.0</v>
      </c>
      <c r="H32" s="84"/>
      <c r="I32" s="85" t="s">
        <v>540</v>
      </c>
      <c r="J32" s="86" t="s">
        <v>541</v>
      </c>
      <c r="K32" s="82" t="s">
        <v>542</v>
      </c>
    </row>
    <row r="33" ht="24.0" customHeight="1">
      <c r="A33" s="83">
        <v>217.0</v>
      </c>
      <c r="B33" s="84"/>
      <c r="C33" s="85" t="s">
        <v>543</v>
      </c>
      <c r="D33" s="86" t="s">
        <v>544</v>
      </c>
      <c r="E33" s="82" t="s">
        <v>545</v>
      </c>
      <c r="F33" s="84"/>
      <c r="G33" s="83">
        <v>411.0</v>
      </c>
      <c r="H33" s="84"/>
      <c r="I33" s="85" t="s">
        <v>546</v>
      </c>
      <c r="J33" s="86" t="s">
        <v>547</v>
      </c>
      <c r="K33" s="82" t="s">
        <v>548</v>
      </c>
    </row>
    <row r="34" ht="24.0" customHeight="1">
      <c r="A34" s="83">
        <v>218.0</v>
      </c>
      <c r="B34" s="84"/>
      <c r="C34" s="85" t="s">
        <v>549</v>
      </c>
      <c r="D34" s="86" t="s">
        <v>550</v>
      </c>
      <c r="E34" s="82" t="s">
        <v>551</v>
      </c>
      <c r="F34" s="84"/>
      <c r="G34" s="83">
        <v>413.0</v>
      </c>
      <c r="H34" s="84"/>
      <c r="I34" s="85" t="s">
        <v>552</v>
      </c>
      <c r="J34" s="86" t="s">
        <v>553</v>
      </c>
      <c r="K34" s="82" t="s">
        <v>554</v>
      </c>
    </row>
    <row r="35" ht="24.0" customHeight="1">
      <c r="A35" s="83">
        <v>219.0</v>
      </c>
      <c r="B35" s="84"/>
      <c r="C35" s="85" t="s">
        <v>555</v>
      </c>
      <c r="D35" s="86" t="s">
        <v>556</v>
      </c>
      <c r="E35" s="82" t="s">
        <v>557</v>
      </c>
      <c r="F35" s="84"/>
      <c r="G35" s="83">
        <v>414.0</v>
      </c>
      <c r="H35" s="84"/>
      <c r="I35" s="85" t="s">
        <v>558</v>
      </c>
      <c r="J35" s="86" t="s">
        <v>559</v>
      </c>
      <c r="K35" s="82" t="s">
        <v>560</v>
      </c>
    </row>
    <row r="36" ht="24.0" customHeight="1">
      <c r="A36" s="83">
        <v>221.0</v>
      </c>
      <c r="B36" s="84"/>
      <c r="C36" s="85" t="s">
        <v>561</v>
      </c>
      <c r="D36" s="86" t="s">
        <v>562</v>
      </c>
      <c r="E36" s="82" t="s">
        <v>563</v>
      </c>
      <c r="F36" s="84"/>
      <c r="G36" s="83">
        <v>415.0</v>
      </c>
      <c r="H36" s="84"/>
      <c r="I36" s="85" t="s">
        <v>564</v>
      </c>
      <c r="J36" s="86" t="s">
        <v>565</v>
      </c>
      <c r="K36" s="82" t="s">
        <v>566</v>
      </c>
    </row>
    <row r="37" ht="24.0" customHeight="1">
      <c r="A37" s="83">
        <v>301.0</v>
      </c>
      <c r="B37" s="84"/>
      <c r="C37" s="85" t="s">
        <v>567</v>
      </c>
      <c r="D37" s="86" t="s">
        <v>568</v>
      </c>
      <c r="E37" s="82" t="s">
        <v>569</v>
      </c>
      <c r="F37" s="84"/>
      <c r="G37" s="83">
        <v>416.0</v>
      </c>
      <c r="H37" s="84"/>
      <c r="I37" s="85" t="s">
        <v>570</v>
      </c>
      <c r="J37" s="86" t="s">
        <v>571</v>
      </c>
      <c r="K37" s="82" t="s">
        <v>572</v>
      </c>
    </row>
    <row r="38" ht="24.0" customHeight="1">
      <c r="A38" s="83">
        <v>302.0</v>
      </c>
      <c r="B38" s="84"/>
      <c r="C38" s="85" t="s">
        <v>573</v>
      </c>
      <c r="D38" s="86" t="s">
        <v>574</v>
      </c>
      <c r="E38" s="82" t="s">
        <v>575</v>
      </c>
      <c r="F38" s="84"/>
      <c r="G38" s="83">
        <v>417.0</v>
      </c>
      <c r="H38" s="84"/>
      <c r="I38" s="85" t="s">
        <v>576</v>
      </c>
      <c r="J38" s="86" t="s">
        <v>577</v>
      </c>
      <c r="K38" s="82" t="s">
        <v>578</v>
      </c>
    </row>
    <row r="39" ht="24.0" customHeight="1">
      <c r="A39" s="83">
        <v>303.0</v>
      </c>
      <c r="B39" s="84"/>
      <c r="C39" s="85" t="s">
        <v>579</v>
      </c>
      <c r="D39" s="86" t="s">
        <v>580</v>
      </c>
      <c r="E39" s="82" t="s">
        <v>581</v>
      </c>
      <c r="F39" s="84"/>
      <c r="G39" s="83">
        <v>418.0</v>
      </c>
      <c r="H39" s="84"/>
      <c r="I39" s="85" t="s">
        <v>582</v>
      </c>
      <c r="J39" s="86" t="s">
        <v>583</v>
      </c>
      <c r="K39" s="82" t="s">
        <v>584</v>
      </c>
    </row>
    <row r="40" ht="24.0" customHeight="1">
      <c r="A40" s="83">
        <v>304.0</v>
      </c>
      <c r="B40" s="84"/>
      <c r="C40" s="85" t="s">
        <v>585</v>
      </c>
      <c r="D40" s="86" t="s">
        <v>586</v>
      </c>
      <c r="E40" s="82" t="s">
        <v>587</v>
      </c>
      <c r="F40" s="84"/>
      <c r="G40" s="83">
        <v>419.0</v>
      </c>
      <c r="H40" s="84"/>
      <c r="I40" s="85" t="s">
        <v>588</v>
      </c>
      <c r="J40" s="86" t="s">
        <v>589</v>
      </c>
      <c r="K40" s="82" t="s">
        <v>590</v>
      </c>
    </row>
    <row r="41" ht="24.0" customHeight="1">
      <c r="A41" s="83">
        <v>305.0</v>
      </c>
      <c r="B41" s="84"/>
      <c r="C41" s="85" t="s">
        <v>591</v>
      </c>
      <c r="D41" s="86" t="s">
        <v>592</v>
      </c>
      <c r="E41" s="82" t="s">
        <v>593</v>
      </c>
      <c r="F41" s="84"/>
      <c r="G41" s="83">
        <v>421.0</v>
      </c>
      <c r="H41" s="84"/>
      <c r="I41" s="85" t="s">
        <v>594</v>
      </c>
      <c r="J41" s="86" t="s">
        <v>595</v>
      </c>
      <c r="K41" s="82" t="s">
        <v>596</v>
      </c>
    </row>
    <row r="42" ht="24.0" customHeight="1">
      <c r="A42" s="83">
        <v>306.0</v>
      </c>
      <c r="B42" s="84"/>
      <c r="C42" s="85" t="s">
        <v>597</v>
      </c>
      <c r="D42" s="86" t="s">
        <v>598</v>
      </c>
      <c r="E42" s="82" t="s">
        <v>599</v>
      </c>
      <c r="F42" s="84"/>
      <c r="G42" s="87"/>
      <c r="H42" s="84"/>
      <c r="I42" s="85" t="s">
        <v>600</v>
      </c>
      <c r="J42" s="86" t="s">
        <v>601</v>
      </c>
      <c r="K42" s="82" t="s">
        <v>602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G4:K4"/>
    <mergeCell ref="G5:K5"/>
    <mergeCell ref="G6:K6"/>
    <mergeCell ref="G7:K7"/>
    <mergeCell ref="A8:K8"/>
    <mergeCell ref="C9:D9"/>
    <mergeCell ref="I9:J9"/>
    <mergeCell ref="A1:K1"/>
    <mergeCell ref="A2:F2"/>
    <mergeCell ref="G2:K2"/>
    <mergeCell ref="A3:F3"/>
    <mergeCell ref="G3:K3"/>
    <mergeCell ref="A4:F4"/>
    <mergeCell ref="A5:F7"/>
  </mergeCells>
  <printOptions/>
  <pageMargins bottom="0.75" footer="0.0" header="0.0" left="0.7" right="0.7" top="0.75"/>
  <pageSetup orientation="portrait"/>
  <drawing r:id="rId1"/>
</worksheet>
</file>